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68800" windowHeight="28800" tabRatio="859" firstSheet="0" activeTab="3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1 WTP data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2-Buy-NoBuy" sheetId="4" state="visible" r:id="rId4"/>
    <sheet xmlns:r="http://schemas.openxmlformats.org/officeDocument/2006/relationships" name="Q3-StudentPrice" sheetId="5" state="visible" r:id="rId5"/>
    <sheet xmlns:r="http://schemas.openxmlformats.org/officeDocument/2006/relationships" name="Q3-nonStudentPrice" sheetId="6" state="visible" r:id="rId6"/>
    <sheet xmlns:r="http://schemas.openxmlformats.org/officeDocument/2006/relationships" name="Q3-Student WTP" sheetId="7" state="visible" r:id="rId7"/>
    <sheet xmlns:r="http://schemas.openxmlformats.org/officeDocument/2006/relationships" name="Q3-NonStudent WTP" sheetId="8" state="visible" r:id="rId8"/>
    <sheet xmlns:r="http://schemas.openxmlformats.org/officeDocument/2006/relationships" name="Q3 All WTP" sheetId="9" state="visible" r:id="rId9"/>
    <sheet xmlns:r="http://schemas.openxmlformats.org/officeDocument/2006/relationships" name="Q3-DemandTable" sheetId="10" state="visible" r:id="rId10"/>
  </sheets>
  <definedNames>
    <definedName name="Price">#REF!</definedName>
    <definedName name="Price_of___5pm_9pm_Session">#REF!</definedName>
    <definedName name="Price2">#REF!</definedName>
    <definedName name="Price" localSheetId="1">#REF!</definedName>
    <definedName name="Price_of___5pm_9pm_Session" localSheetId="1">#REF!</definedName>
    <definedName name="Price" localSheetId="2">#REF!</definedName>
    <definedName name="Price_of___5pm_9pm_Session" localSheetId="2">#REF!</definedName>
    <definedName name="Price" localSheetId="3">#REF!</definedName>
    <definedName name="Price_of___5pm_9pm_Session" localSheetId="3">#REF!</definedName>
    <definedName name="Price" localSheetId="8">#REF!</definedName>
    <definedName name="Price_of___5pm_9pm_Session" localSheetId="8">#REF!</definedName>
    <definedName name="Price2" localSheetId="8">#REF!</definedName>
  </definedNames>
  <calcPr calcId="150001" fullCalcOnLoad="1" concurrentCalc="0"/>
</workbook>
</file>

<file path=xl/styles.xml><?xml version="1.0" encoding="utf-8"?>
<styleSheet xmlns="http://schemas.openxmlformats.org/spreadsheetml/2006/main">
  <numFmts count="6">
    <numFmt numFmtId="164" formatCode="_(&quot;$&quot;* #,##0.00_);_(&quot;$&quot;* \(#,##0.00\);_(&quot;$&quot;* &quot;-&quot;??_);_(@_)"/>
    <numFmt numFmtId="165" formatCode="&quot;Price=&quot;General"/>
    <numFmt numFmtId="166" formatCode="&quot;$&quot;#,##0.00"/>
    <numFmt numFmtId="167" formatCode="_(&quot;$&quot;* #,##0_);_(&quot;$&quot;* \(#,##0\);_(&quot;$&quot;* &quot;-&quot;??_);_(@_)"/>
    <numFmt numFmtId="168" formatCode="0.0"/>
    <numFmt numFmtId="169" formatCode="0.0%"/>
  </numFmts>
  <fonts count="20">
    <font>
      <name val="Arial"/>
      <sz val="10"/>
    </font>
    <font>
      <name val="Arial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color indexed="12"/>
      <sz val="10"/>
    </font>
    <font>
      <name val="Tahoma"/>
      <family val="2"/>
      <sz val="12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color indexed="12"/>
      <sz val="12"/>
    </font>
    <font>
      <name val="Tahoma"/>
      <family val="2"/>
      <color indexed="8"/>
      <sz val="8"/>
    </font>
    <font>
      <name val="Tahoma"/>
      <family val="2"/>
      <color indexed="12"/>
      <sz val="10"/>
    </font>
    <font>
      <name val="Tahoma"/>
      <family val="2"/>
      <b val="1"/>
      <sz val="9"/>
    </font>
    <font>
      <name val="Tahoma"/>
      <family val="2"/>
      <b val="1"/>
      <sz val="12"/>
    </font>
    <font>
      <name val="Tahoma"/>
      <family val="2"/>
      <b val="1"/>
      <color indexed="8"/>
      <sz val="9"/>
    </font>
    <font>
      <name val="Tahoma"/>
      <family val="2"/>
      <sz val="8"/>
    </font>
    <font>
      <name val="Arial"/>
      <family val="2"/>
      <sz val="12"/>
    </font>
    <font>
      <name val="Arial"/>
      <family val="2"/>
      <color theme="5"/>
      <sz val="10"/>
    </font>
    <font>
      <name val="Arial"/>
      <family val="2"/>
      <color indexed="12"/>
      <sz val="12"/>
    </font>
    <font>
      <name val="Tahoma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299">
    <xf numFmtId="0" fontId="0" fillId="0" borderId="0" pivotButton="0" quotePrefix="0" xfId="0"/>
    <xf numFmtId="0" fontId="5" fillId="0" borderId="0" pivotButton="0" quotePrefix="0" xfId="0"/>
    <xf numFmtId="164" fontId="9" fillId="0" borderId="0" pivotButton="0" quotePrefix="0" xfId="1"/>
    <xf numFmtId="0" fontId="7" fillId="0" borderId="0" applyAlignment="1" pivotButton="0" quotePrefix="0" xfId="0">
      <alignment horizontal="center"/>
    </xf>
    <xf numFmtId="1" fontId="7" fillId="0" borderId="5" applyAlignment="1" pivotButton="0" quotePrefix="0" xfId="0">
      <alignment horizontal="center"/>
    </xf>
    <xf numFmtId="1" fontId="7" fillId="0" borderId="7" applyAlignment="1" pivotButton="0" quotePrefix="0" xfId="0">
      <alignment horizontal="center"/>
    </xf>
    <xf numFmtId="1" fontId="7" fillId="0" borderId="3" applyAlignment="1" pivotButton="0" quotePrefix="0" xfId="0">
      <alignment horizontal="left"/>
    </xf>
    <xf numFmtId="1" fontId="7" fillId="0" borderId="9" pivotButton="0" quotePrefix="0" xfId="1"/>
    <xf numFmtId="1" fontId="7" fillId="0" borderId="0" pivotButton="0" quotePrefix="0" xfId="1"/>
    <xf numFmtId="1" fontId="7" fillId="0" borderId="3" pivotButton="0" quotePrefix="0" xfId="1"/>
    <xf numFmtId="1" fontId="7" fillId="0" borderId="0" pivotButton="0" quotePrefix="0" xfId="0"/>
    <xf numFmtId="1" fontId="7" fillId="0" borderId="0" applyAlignment="1" pivotButton="0" quotePrefix="0" xfId="0">
      <alignment horizontal="center"/>
    </xf>
    <xf numFmtId="1" fontId="6" fillId="0" borderId="0" pivotButton="0" quotePrefix="0" xfId="0"/>
    <xf numFmtId="1" fontId="10" fillId="0" borderId="11" applyAlignment="1" pivotButton="0" quotePrefix="0" xfId="0">
      <alignment horizontal="center"/>
    </xf>
    <xf numFmtId="1" fontId="10" fillId="0" borderId="8" applyAlignment="1" pivotButton="0" quotePrefix="0" xfId="0">
      <alignment horizontal="center"/>
    </xf>
    <xf numFmtId="1" fontId="10" fillId="0" borderId="7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164" fontId="9" fillId="0" borderId="0" pivotButton="0" quotePrefix="0" xfId="1"/>
    <xf numFmtId="0" fontId="5" fillId="0" borderId="3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4" applyAlignment="1" pivotButton="0" quotePrefix="0" xfId="0">
      <alignment horizontal="left"/>
    </xf>
    <xf numFmtId="9" fontId="5" fillId="0" borderId="0" pivotButton="0" quotePrefix="0" xfId="2"/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14" fillId="0" borderId="16" applyAlignment="1" pivotButton="0" quotePrefix="0" xfId="0">
      <alignment horizontal="center" vertical="center"/>
    </xf>
    <xf numFmtId="165" fontId="14" fillId="0" borderId="11" applyAlignment="1" pivotButton="0" quotePrefix="0" xfId="0">
      <alignment horizontal="center" vertical="center"/>
    </xf>
    <xf numFmtId="165" fontId="14" fillId="0" borderId="8" applyAlignment="1" pivotButton="0" quotePrefix="0" xfId="0">
      <alignment horizontal="center" vertical="center"/>
    </xf>
    <xf numFmtId="165" fontId="14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1" fontId="7" fillId="0" borderId="19" applyAlignment="1" pivotButton="0" quotePrefix="0" xfId="0">
      <alignment horizontal="left"/>
    </xf>
    <xf numFmtId="1" fontId="7" fillId="0" borderId="21" pivotButton="0" quotePrefix="0" xfId="1"/>
    <xf numFmtId="1" fontId="7" fillId="0" borderId="18" pivotButton="0" quotePrefix="0" xfId="1"/>
    <xf numFmtId="1" fontId="7" fillId="0" borderId="19" pivotButton="0" quotePrefix="0" xfId="1"/>
    <xf numFmtId="164" fontId="18" fillId="0" borderId="0" pivotButton="0" quotePrefix="0" xfId="1"/>
    <xf numFmtId="164" fontId="18" fillId="0" borderId="0" applyAlignment="1" pivotButton="0" quotePrefix="0" xfId="1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5" fillId="2" borderId="27" pivotButton="0" quotePrefix="0" xfId="0"/>
    <xf numFmtId="0" fontId="16" fillId="0" borderId="28" pivotButton="0" quotePrefix="0" xfId="0"/>
    <xf numFmtId="39" fontId="5" fillId="3" borderId="9" pivotButton="0" quotePrefix="0" xfId="1"/>
    <xf numFmtId="39" fontId="5" fillId="3" borderId="10" pivotButton="0" quotePrefix="0" xfId="1"/>
    <xf numFmtId="39" fontId="5" fillId="3" borderId="3" pivotButton="0" quotePrefix="0" xfId="1"/>
    <xf numFmtId="39" fontId="5" fillId="3" borderId="4" pivotButton="0" quotePrefix="0" xfId="1"/>
    <xf numFmtId="0" fontId="13" fillId="0" borderId="14" applyAlignment="1" pivotButton="0" quotePrefix="0" xfId="0">
      <alignment horizontal="center" vertical="center" wrapText="1"/>
    </xf>
    <xf numFmtId="4" fontId="5" fillId="3" borderId="12" pivotButton="0" quotePrefix="0" xfId="0"/>
    <xf numFmtId="4" fontId="5" fillId="3" borderId="0" pivotButton="0" quotePrefix="0" xfId="0"/>
    <xf numFmtId="4" fontId="5" fillId="3" borderId="13" pivotButton="0" quotePrefix="0" xfId="0"/>
    <xf numFmtId="4" fontId="5" fillId="3" borderId="1" pivotButton="0" quotePrefix="0" xfId="0"/>
    <xf numFmtId="39" fontId="5" fillId="3" borderId="0" pivotButton="0" quotePrefix="0" xfId="1"/>
    <xf numFmtId="4" fontId="5" fillId="3" borderId="9" applyAlignment="1" pivotButton="0" quotePrefix="0" xfId="0">
      <alignment horizontal="center"/>
    </xf>
    <xf numFmtId="4" fontId="5" fillId="3" borderId="0" applyAlignment="1" pivotButton="0" quotePrefix="0" xfId="0">
      <alignment horizontal="center"/>
    </xf>
    <xf numFmtId="4" fontId="5" fillId="3" borderId="3" applyAlignment="1" pivotButton="0" quotePrefix="0" xfId="0">
      <alignment horizontal="center"/>
    </xf>
    <xf numFmtId="4" fontId="5" fillId="3" borderId="21" applyAlignment="1" pivotButton="0" quotePrefix="0" xfId="0">
      <alignment horizontal="center"/>
    </xf>
    <xf numFmtId="4" fontId="5" fillId="3" borderId="18" applyAlignment="1" pivotButton="0" quotePrefix="0" xfId="0">
      <alignment horizontal="center"/>
    </xf>
    <xf numFmtId="4" fontId="5" fillId="3" borderId="19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3" fillId="0" borderId="30" applyAlignment="1" pivotButton="0" quotePrefix="0" xfId="0">
      <alignment horizontal="center" vertical="center" wrapText="1"/>
    </xf>
    <xf numFmtId="3" fontId="5" fillId="0" borderId="0" applyAlignment="1" pivotButton="0" quotePrefix="0" xfId="0">
      <alignment vertical="center"/>
    </xf>
    <xf numFmtId="0" fontId="13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center" vertical="center" wrapText="1"/>
    </xf>
    <xf numFmtId="166" fontId="5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3" fontId="5" fillId="3" borderId="12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3" fontId="5" fillId="3" borderId="13" applyAlignment="1" pivotButton="0" quotePrefix="0" xfId="0">
      <alignment horizontal="center" vertical="center"/>
    </xf>
    <xf numFmtId="1" fontId="7" fillId="0" borderId="0" applyAlignment="1" pivotButton="0" quotePrefix="0" xfId="0">
      <alignment horizontal="left"/>
    </xf>
    <xf numFmtId="1" fontId="7" fillId="0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2" borderId="0" pivotButton="0" quotePrefix="0" xfId="0"/>
    <xf numFmtId="0" fontId="7" fillId="2" borderId="0" pivotButton="0" quotePrefix="0" xfId="0"/>
    <xf numFmtId="0" fontId="0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 vertical="center"/>
    </xf>
    <xf numFmtId="1" fontId="5" fillId="3" borderId="10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" fontId="0" fillId="2" borderId="0" pivotButton="0" quotePrefix="0" xfId="0"/>
    <xf numFmtId="0" fontId="8" fillId="2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  <xf numFmtId="2" fontId="7" fillId="2" borderId="0" pivotButton="0" quotePrefix="0" xfId="0"/>
    <xf numFmtId="2" fontId="0" fillId="2" borderId="0" applyAlignment="1" pivotButton="0" quotePrefix="0" xfId="0">
      <alignment horizontal="center"/>
    </xf>
    <xf numFmtId="167" fontId="0" fillId="2" borderId="0" pivotButton="0" quotePrefix="0" xfId="0"/>
    <xf numFmtId="167" fontId="0" fillId="2" borderId="0" pivotButton="0" quotePrefix="0" xfId="1"/>
    <xf numFmtId="3" fontId="0" fillId="2" borderId="0" pivotButton="0" quotePrefix="0" xfId="0"/>
    <xf numFmtId="2" fontId="17" fillId="2" borderId="0" pivotButton="0" quotePrefix="0" xfId="0"/>
    <xf numFmtId="168" fontId="0" fillId="2" borderId="0" pivotButton="0" quotePrefix="0" xfId="0"/>
    <xf numFmtId="168" fontId="17" fillId="2" borderId="0" pivotButton="0" quotePrefix="0" xfId="0"/>
    <xf numFmtId="169" fontId="0" fillId="2" borderId="0" pivotButton="0" quotePrefix="0" xfId="0"/>
    <xf numFmtId="1" fontId="6" fillId="3" borderId="0" pivotButton="0" quotePrefix="0" xfId="0"/>
    <xf numFmtId="1" fontId="6" fillId="2" borderId="0" applyAlignment="1" pivotButton="0" quotePrefix="0" xfId="1">
      <alignment horizontal="center"/>
    </xf>
    <xf numFmtId="1" fontId="6" fillId="2" borderId="0" applyAlignment="1" pivotButton="0" quotePrefix="0" xfId="1">
      <alignment horizontal="center" vertical="center"/>
    </xf>
    <xf numFmtId="1" fontId="7" fillId="2" borderId="9" applyAlignment="1" pivotButton="0" quotePrefix="0" xfId="1">
      <alignment horizontal="center"/>
    </xf>
    <xf numFmtId="1" fontId="7" fillId="2" borderId="0" applyAlignment="1" pivotButton="0" quotePrefix="0" xfId="1">
      <alignment horizontal="center"/>
    </xf>
    <xf numFmtId="1" fontId="7" fillId="2" borderId="3" applyAlignment="1" pivotButton="0" quotePrefix="0" xfId="1">
      <alignment horizontal="center"/>
    </xf>
    <xf numFmtId="1" fontId="6" fillId="3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2" borderId="0" applyAlignment="1" pivotButton="0" quotePrefix="0" xfId="0">
      <alignment horizontal="center"/>
    </xf>
    <xf numFmtId="164" fontId="6" fillId="2" borderId="0" applyAlignment="1" pivotButton="0" quotePrefix="0" xfId="1">
      <alignment horizontal="center"/>
    </xf>
    <xf numFmtId="0" fontId="7" fillId="2" borderId="0" applyAlignment="1" pivotButton="0" quotePrefix="0" xfId="0">
      <alignment horizontal="center"/>
    </xf>
    <xf numFmtId="2" fontId="7" fillId="2" borderId="0" applyAlignment="1" pivotButton="0" quotePrefix="0" xfId="0">
      <alignment horizontal="center"/>
    </xf>
    <xf numFmtId="1" fontId="7" fillId="3" borderId="0" applyAlignment="1" pivotButton="0" quotePrefix="0" xfId="0">
      <alignment horizontal="center"/>
    </xf>
    <xf numFmtId="2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2" fontId="7" fillId="2" borderId="0" applyAlignment="1" pivotButton="0" quotePrefix="0" xfId="2">
      <alignment horizontal="center"/>
    </xf>
    <xf numFmtId="164" fontId="6" fillId="2" borderId="0" applyAlignment="1" pivotButton="0" quotePrefix="0" xfId="1">
      <alignment horizontal="center" vertical="center"/>
    </xf>
    <xf numFmtId="2" fontId="6" fillId="2" borderId="0" applyAlignment="1" pivotButton="0" quotePrefix="0" xfId="1">
      <alignment horizontal="center" vertical="center"/>
    </xf>
    <xf numFmtId="1" fontId="6" fillId="2" borderId="22" applyAlignment="1" pivotButton="0" quotePrefix="0" xfId="0">
      <alignment horizontal="center"/>
    </xf>
    <xf numFmtId="1" fontId="7" fillId="2" borderId="17" applyAlignment="1" pivotButton="0" quotePrefix="0" xfId="0">
      <alignment horizontal="center"/>
    </xf>
    <xf numFmtId="1" fontId="6" fillId="2" borderId="17" applyAlignment="1" pivotButton="0" quotePrefix="0" xfId="0">
      <alignment horizontal="center"/>
    </xf>
    <xf numFmtId="164" fontId="6" fillId="2" borderId="17" applyAlignment="1" pivotButton="0" quotePrefix="0" xfId="1">
      <alignment horizontal="center"/>
    </xf>
    <xf numFmtId="0" fontId="7" fillId="2" borderId="17" applyAlignment="1" pivotButton="0" quotePrefix="0" xfId="0">
      <alignment horizontal="center"/>
    </xf>
    <xf numFmtId="2" fontId="7" fillId="2" borderId="17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1" fontId="6" fillId="2" borderId="9" applyAlignment="1" pivotButton="0" quotePrefix="0" xfId="0">
      <alignment horizontal="center"/>
    </xf>
    <xf numFmtId="1" fontId="6" fillId="2" borderId="21" applyAlignment="1" pivotButton="0" quotePrefix="0" xfId="0">
      <alignment horizontal="center"/>
    </xf>
    <xf numFmtId="1" fontId="7" fillId="2" borderId="18" applyAlignment="1" pivotButton="0" quotePrefix="0" xfId="1">
      <alignment horizontal="center"/>
    </xf>
    <xf numFmtId="1" fontId="6" fillId="3" borderId="18" applyAlignment="1" pivotButton="0" quotePrefix="0" xfId="0">
      <alignment horizontal="center"/>
    </xf>
    <xf numFmtId="1" fontId="6" fillId="2" borderId="18" applyAlignment="1" pivotButton="0" quotePrefix="0" xfId="0">
      <alignment horizontal="center"/>
    </xf>
    <xf numFmtId="0" fontId="7" fillId="2" borderId="18" applyAlignment="1" pivotButton="0" quotePrefix="0" xfId="0">
      <alignment horizontal="center"/>
    </xf>
    <xf numFmtId="1" fontId="7" fillId="3" borderId="18" applyAlignment="1" pivotButton="0" quotePrefix="0" xfId="0">
      <alignment horizontal="center"/>
    </xf>
    <xf numFmtId="2" fontId="7" fillId="3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" fontId="6" fillId="2" borderId="18" applyAlignment="1" pivotButton="0" quotePrefix="0" xfId="1">
      <alignment horizontal="center"/>
    </xf>
    <xf numFmtId="2" fontId="6" fillId="2" borderId="18" applyAlignment="1" pivotButton="0" quotePrefix="0" xfId="1">
      <alignment horizontal="center"/>
    </xf>
    <xf numFmtId="164" fontId="6" fillId="2" borderId="18" applyAlignment="1" pivotButton="0" quotePrefix="0" xfId="1">
      <alignment horizontal="center"/>
    </xf>
    <xf numFmtId="1" fontId="6" fillId="2" borderId="19" applyAlignment="1" pivotButton="0" quotePrefix="0" xfId="0">
      <alignment horizontal="center"/>
    </xf>
    <xf numFmtId="1" fontId="6" fillId="2" borderId="31" applyAlignment="1" pivotButton="0" quotePrefix="0" xfId="0">
      <alignment horizontal="center" vertical="center"/>
    </xf>
    <xf numFmtId="1" fontId="6" fillId="2" borderId="32" applyAlignment="1" pivotButton="0" quotePrefix="0" xfId="1">
      <alignment horizontal="center" vertical="center"/>
    </xf>
    <xf numFmtId="164" fontId="6" fillId="2" borderId="32" applyAlignment="1" pivotButton="0" quotePrefix="0" xfId="1">
      <alignment horizontal="center" vertical="center"/>
    </xf>
    <xf numFmtId="2" fontId="6" fillId="2" borderId="32" applyAlignment="1" pivotButton="0" quotePrefix="0" xfId="1">
      <alignment horizontal="center" vertical="center"/>
    </xf>
    <xf numFmtId="1" fontId="7" fillId="2" borderId="21" applyAlignment="1" pivotButton="0" quotePrefix="0" xfId="1">
      <alignment horizontal="center"/>
    </xf>
    <xf numFmtId="1" fontId="7" fillId="2" borderId="19" applyAlignment="1" pivotButton="0" quotePrefix="0" xfId="1">
      <alignment horizontal="center"/>
    </xf>
    <xf numFmtId="1" fontId="6" fillId="2" borderId="29" applyAlignment="1" pivotButton="0" quotePrefix="0" xfId="1">
      <alignment horizontal="center" vertical="center"/>
    </xf>
    <xf numFmtId="1" fontId="6" fillId="2" borderId="20" applyAlignment="1" pivotButton="0" quotePrefix="0" xfId="1">
      <alignment horizontal="center"/>
    </xf>
    <xf numFmtId="1" fontId="6" fillId="3" borderId="12" applyAlignment="1" pivotButton="0" quotePrefix="0" xfId="0">
      <alignment horizontal="center"/>
    </xf>
    <xf numFmtId="1" fontId="6" fillId="3" borderId="20" applyAlignment="1" pivotButton="0" quotePrefix="0" xfId="0">
      <alignment horizontal="center"/>
    </xf>
    <xf numFmtId="1" fontId="6" fillId="2" borderId="31" applyAlignment="1" pivotButton="0" quotePrefix="0" xfId="0">
      <alignment horizontal="center"/>
    </xf>
    <xf numFmtId="1" fontId="6" fillId="2" borderId="32" applyAlignment="1" pivotButton="0" quotePrefix="0" xfId="0">
      <alignment horizontal="center"/>
    </xf>
    <xf numFmtId="1" fontId="6" fillId="2" borderId="33" applyAlignment="1" pivotButton="0" quotePrefix="0" xfId="0">
      <alignment horizontal="center"/>
    </xf>
    <xf numFmtId="0" fontId="7" fillId="2" borderId="9" applyAlignment="1" pivotButton="0" quotePrefix="0" xfId="0">
      <alignment horizontal="center"/>
    </xf>
    <xf numFmtId="1" fontId="7" fillId="3" borderId="3" applyAlignment="1" pivotButton="0" quotePrefix="0" xfId="0">
      <alignment horizontal="center"/>
    </xf>
    <xf numFmtId="0" fontId="7" fillId="2" borderId="21" applyAlignment="1" pivotButton="0" quotePrefix="0" xfId="0">
      <alignment horizontal="center"/>
    </xf>
    <xf numFmtId="1" fontId="7" fillId="3" borderId="19" applyAlignment="1" pivotButton="0" quotePrefix="0" xfId="0">
      <alignment horizontal="center"/>
    </xf>
    <xf numFmtId="164" fontId="6" fillId="3" borderId="17" applyAlignment="1" pivotButton="0" quotePrefix="0" xfId="1">
      <alignment horizontal="center"/>
    </xf>
    <xf numFmtId="2" fontId="6" fillId="2" borderId="29" applyAlignment="1" pivotButton="0" quotePrefix="0" xfId="1">
      <alignment horizontal="center" vertical="center"/>
    </xf>
    <xf numFmtId="2" fontId="7" fillId="3" borderId="9" applyAlignment="1" pivotButton="0" quotePrefix="0" xfId="0">
      <alignment horizontal="center"/>
    </xf>
    <xf numFmtId="2" fontId="7" fillId="3" borderId="3" applyAlignment="1" pivotButton="0" quotePrefix="0" xfId="0">
      <alignment horizontal="center"/>
    </xf>
    <xf numFmtId="2" fontId="7" fillId="3" borderId="21" applyAlignment="1" pivotButton="0" quotePrefix="0" xfId="0">
      <alignment horizontal="center"/>
    </xf>
    <xf numFmtId="2" fontId="7" fillId="3" borderId="19" applyAlignment="1" pivotButton="0" quotePrefix="0" xfId="0">
      <alignment horizontal="center"/>
    </xf>
    <xf numFmtId="2" fontId="6" fillId="2" borderId="0" applyAlignment="1" pivotButton="0" quotePrefix="0" xfId="0">
      <alignment horizontal="center"/>
    </xf>
    <xf numFmtId="2" fontId="6" fillId="3" borderId="32" applyAlignment="1" pivotButton="0" quotePrefix="0" xfId="0">
      <alignment horizontal="center"/>
    </xf>
    <xf numFmtId="1" fontId="6" fillId="2" borderId="33" applyAlignment="1" pivotButton="0" quotePrefix="0" xfId="1">
      <alignment horizontal="center" vertical="center"/>
    </xf>
    <xf numFmtId="1" fontId="6" fillId="2" borderId="19" applyAlignment="1" pivotButton="0" quotePrefix="0" xfId="1">
      <alignment horizontal="center"/>
    </xf>
    <xf numFmtId="1" fontId="6" fillId="3" borderId="3" applyAlignment="1" pivotButton="0" quotePrefix="0" xfId="0">
      <alignment horizontal="center"/>
    </xf>
    <xf numFmtId="1" fontId="6" fillId="3" borderId="19" applyAlignment="1" pivotButton="0" quotePrefix="0" xfId="0">
      <alignment horizontal="center"/>
    </xf>
    <xf numFmtId="2" fontId="6" fillId="3" borderId="18" applyAlignment="1" pivotButton="0" quotePrefix="0" xfId="0">
      <alignment horizontal="center"/>
    </xf>
    <xf numFmtId="1" fontId="6" fillId="2" borderId="29" applyAlignment="1" pivotButton="0" quotePrefix="0" xfId="0">
      <alignment horizontal="center"/>
    </xf>
    <xf numFmtId="1" fontId="6" fillId="2" borderId="20" applyAlignment="1" pivotButton="0" quotePrefix="0" xfId="0">
      <alignment horizontal="center"/>
    </xf>
    <xf numFmtId="1" fontId="19" fillId="2" borderId="18" applyAlignment="1" pivotButton="0" quotePrefix="0" xfId="0">
      <alignment horizontal="center"/>
    </xf>
    <xf numFmtId="1" fontId="19" fillId="2" borderId="19" applyAlignment="1" pivotButton="0" quotePrefix="0" xfId="0">
      <alignment horizontal="center"/>
    </xf>
    <xf numFmtId="164" fontId="11" fillId="0" borderId="0" applyAlignment="1" pivotButton="0" quotePrefix="0" xfId="1">
      <alignment horizontal="center"/>
    </xf>
    <xf numFmtId="1" fontId="7" fillId="2" borderId="12" applyAlignment="1" pivotButton="0" quotePrefix="0" xfId="0">
      <alignment horizontal="center"/>
    </xf>
    <xf numFmtId="1" fontId="7" fillId="2" borderId="20" applyAlignment="1" pivotButton="0" quotePrefix="0" xfId="0">
      <alignment horizontal="center"/>
    </xf>
    <xf numFmtId="2" fontId="6" fillId="2" borderId="29" applyAlignment="1" pivotButton="0" quotePrefix="0" xfId="1">
      <alignment horizontal="center"/>
    </xf>
    <xf numFmtId="2" fontId="7" fillId="3" borderId="12" applyAlignment="1" pivotButton="0" quotePrefix="0" xfId="0">
      <alignment horizontal="center"/>
    </xf>
    <xf numFmtId="2" fontId="7" fillId="3" borderId="20" applyAlignment="1" pivotButton="0" quotePrefix="0" xfId="0">
      <alignment horizontal="center"/>
    </xf>
    <xf numFmtId="2" fontId="6" fillId="2" borderId="31" applyAlignment="1" pivotButton="0" quotePrefix="0" xfId="1">
      <alignment horizontal="center"/>
    </xf>
    <xf numFmtId="164" fontId="6" fillId="2" borderId="32" applyAlignment="1" pivotButton="0" quotePrefix="0" xfId="1">
      <alignment horizontal="center"/>
    </xf>
    <xf numFmtId="164" fontId="6" fillId="2" borderId="29" applyAlignment="1" pivotButton="0" quotePrefix="0" xfId="1">
      <alignment horizontal="center" vertical="center"/>
    </xf>
    <xf numFmtId="2" fontId="6" fillId="2" borderId="17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1" fontId="6" fillId="0" borderId="6" applyAlignment="1" pivotButton="0" quotePrefix="0" xfId="1">
      <alignment horizontal="center"/>
    </xf>
    <xf numFmtId="1" fontId="15" fillId="0" borderId="8" applyAlignment="1" pivotButton="0" quotePrefix="0" xfId="0">
      <alignment horizontal="center"/>
    </xf>
    <xf numFmtId="1" fontId="15" fillId="0" borderId="7" applyAlignment="1" pivotButton="0" quotePrefix="0" xfId="0">
      <alignment horizontal="center"/>
    </xf>
    <xf numFmtId="1" fontId="6" fillId="0" borderId="8" applyAlignment="1" pivotButton="0" quotePrefix="0" xfId="1">
      <alignment horizontal="center"/>
    </xf>
    <xf numFmtId="1" fontId="6" fillId="3" borderId="9" pivotButton="0" quotePrefix="0" xfId="0"/>
    <xf numFmtId="1" fontId="6" fillId="3" borderId="18" pivotButton="0" quotePrefix="0" xfId="0"/>
    <xf numFmtId="1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" fontId="7" fillId="0" borderId="0" applyAlignment="1" pivotButton="0" quotePrefix="0" xfId="1">
      <alignment horizontal="center"/>
    </xf>
    <xf numFmtId="1" fontId="7" fillId="0" borderId="3" applyAlignment="1" pivotButton="0" quotePrefix="0" xfId="1">
      <alignment horizontal="center"/>
    </xf>
    <xf numFmtId="1" fontId="7" fillId="0" borderId="0" applyAlignment="1" pivotButton="0" quotePrefix="0" xfId="0">
      <alignment horizontal="center"/>
    </xf>
    <xf numFmtId="1" fontId="6" fillId="3" borderId="9" applyAlignment="1" pivotButton="0" quotePrefix="0" xfId="0">
      <alignment horizontal="center"/>
    </xf>
    <xf numFmtId="1" fontId="7" fillId="0" borderId="18" applyAlignment="1" pivotButton="0" quotePrefix="0" xfId="1">
      <alignment horizontal="center"/>
    </xf>
    <xf numFmtId="1" fontId="7" fillId="0" borderId="19" applyAlignment="1" pivotButton="0" quotePrefix="0" xfId="1">
      <alignment horizontal="center"/>
    </xf>
    <xf numFmtId="164" fontId="6" fillId="3" borderId="0" applyAlignment="1" pivotButton="0" quotePrefix="0" xfId="1">
      <alignment horizontal="center"/>
    </xf>
    <xf numFmtId="2" fontId="6" fillId="2" borderId="0" applyAlignment="1" pivotButton="0" quotePrefix="0" xfId="1">
      <alignment horizontal="center"/>
    </xf>
    <xf numFmtId="2" fontId="6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" fontId="7" fillId="0" borderId="6" applyAlignment="1" pivotButton="0" quotePrefix="0" xfId="0">
      <alignment horizontal="center"/>
    </xf>
    <xf numFmtId="1" fontId="7" fillId="0" borderId="8" applyAlignment="1" pivotButton="0" quotePrefix="0" xfId="0">
      <alignment horizontal="center"/>
    </xf>
    <xf numFmtId="0" fontId="2" fillId="2" borderId="0" pivotButton="0" quotePrefix="0" xfId="0"/>
    <xf numFmtId="2" fontId="2" fillId="2" borderId="0" pivotButton="0" quotePrefix="0" xfId="0"/>
    <xf numFmtId="2" fontId="0" fillId="3" borderId="0" pivotButton="0" quotePrefix="0" xfId="0"/>
    <xf numFmtId="164" fontId="18" fillId="0" borderId="0" applyAlignment="1" pivotButton="0" quotePrefix="0" xfId="1">
      <alignment horizontal="center" wrapText="1"/>
    </xf>
    <xf numFmtId="164" fontId="18" fillId="0" borderId="0" applyAlignment="1" pivotButton="0" quotePrefix="0" xfId="1">
      <alignment wrapText="1"/>
    </xf>
    <xf numFmtId="164" fontId="18" fillId="0" borderId="0" pivotButton="0" quotePrefix="0" xfId="1"/>
    <xf numFmtId="0" fontId="13" fillId="0" borderId="29" applyAlignment="1" pivotButton="0" quotePrefix="0" xfId="0">
      <alignment horizontal="center" vertical="center" wrapText="1"/>
    </xf>
    <xf numFmtId="0" fontId="5" fillId="3" borderId="29" pivotButton="0" quotePrefix="0" xfId="0"/>
    <xf numFmtId="10" fontId="5" fillId="3" borderId="29" pivotButton="0" quotePrefix="0" xfId="0"/>
    <xf numFmtId="3" fontId="5" fillId="3" borderId="29" applyAlignment="1" pivotButton="0" quotePrefix="0" xfId="0">
      <alignment vertical="center"/>
    </xf>
    <xf numFmtId="166" fontId="5" fillId="2" borderId="29" pivotButton="0" quotePrefix="0" xfId="0"/>
    <xf numFmtId="164" fontId="3" fillId="2" borderId="0" pivotButton="0" quotePrefix="0" xfId="1"/>
    <xf numFmtId="166" fontId="7" fillId="2" borderId="29" pivotButton="0" quotePrefix="0" xfId="0"/>
    <xf numFmtId="0" fontId="7" fillId="3" borderId="29" pivotButton="0" quotePrefix="0" xfId="0"/>
    <xf numFmtId="10" fontId="7" fillId="3" borderId="29" pivotButton="0" quotePrefix="0" xfId="0"/>
    <xf numFmtId="3" fontId="7" fillId="3" borderId="29" applyAlignment="1" pivotButton="0" quotePrefix="0" xfId="0">
      <alignment vertical="center"/>
    </xf>
    <xf numFmtId="1" fontId="0" fillId="3" borderId="29" pivotButton="0" quotePrefix="0" xfId="0"/>
    <xf numFmtId="2" fontId="7" fillId="2" borderId="29" pivotButton="0" quotePrefix="0" xfId="0"/>
    <xf numFmtId="1" fontId="7" fillId="0" borderId="18" applyAlignment="1" pivotButton="0" quotePrefix="0" xfId="0">
      <alignment horizontal="center"/>
    </xf>
    <xf numFmtId="1" fontId="7" fillId="0" borderId="34" applyAlignment="1" pivotButton="0" quotePrefix="0" xfId="0">
      <alignment horizontal="center"/>
    </xf>
    <xf numFmtId="1" fontId="7" fillId="0" borderId="16" applyAlignment="1" pivotButton="0" quotePrefix="0" xfId="0">
      <alignment horizontal="center"/>
    </xf>
    <xf numFmtId="0" fontId="5" fillId="0" borderId="12" pivotButton="0" quotePrefix="0" xfId="0"/>
    <xf numFmtId="0" fontId="5" fillId="0" borderId="20" pivotButton="0" quotePrefix="0" xfId="0"/>
    <xf numFmtId="0" fontId="13" fillId="0" borderId="25" applyAlignment="1" pivotButton="0" quotePrefix="0" xfId="0">
      <alignment horizontal="left" vertical="center"/>
    </xf>
    <xf numFmtId="0" fontId="13" fillId="0" borderId="26" applyAlignment="1" pivotButton="0" quotePrefix="0" xfId="0">
      <alignment horizontal="left" vertical="center"/>
    </xf>
    <xf numFmtId="1" fontId="6" fillId="0" borderId="24" applyAlignment="1" pivotButton="0" quotePrefix="0" xfId="0">
      <alignment horizontal="center"/>
    </xf>
    <xf numFmtId="1" fontId="6" fillId="0" borderId="6" applyAlignment="1" pivotButton="0" quotePrefix="0" xfId="0">
      <alignment horizontal="center"/>
    </xf>
    <xf numFmtId="1" fontId="6" fillId="0" borderId="5" applyAlignment="1" pivotButton="0" quotePrefix="0" xfId="0">
      <alignment horizontal="center"/>
    </xf>
    <xf numFmtId="0" fontId="13" fillId="0" borderId="2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2" fontId="13" fillId="0" borderId="6" applyAlignment="1" pivotButton="0" quotePrefix="0" xfId="0">
      <alignment horizontal="center" vertical="center"/>
    </xf>
    <xf numFmtId="2" fontId="13" fillId="0" borderId="5" applyAlignment="1" pivotButton="0" quotePrefix="0" xfId="0">
      <alignment horizontal="center" vertical="center"/>
    </xf>
    <xf numFmtId="2" fontId="13" fillId="0" borderId="24" applyAlignment="1" pivotButton="0" quotePrefix="0" xfId="0">
      <alignment horizontal="center" vertical="center"/>
    </xf>
    <xf numFmtId="164" fontId="13" fillId="0" borderId="0" applyAlignment="1" pivotButton="0" quotePrefix="0" xfId="1">
      <alignment horizontal="center" vertical="center"/>
    </xf>
    <xf numFmtId="164" fontId="13" fillId="0" borderId="3" applyAlignment="1" pivotButton="0" quotePrefix="0" xfId="1">
      <alignment horizontal="center" vertical="center"/>
    </xf>
    <xf numFmtId="1" fontId="6" fillId="2" borderId="31" applyAlignment="1" pivotButton="0" quotePrefix="0" xfId="0">
      <alignment horizontal="center" vertical="center"/>
    </xf>
    <xf numFmtId="1" fontId="6" fillId="2" borderId="32" applyAlignment="1" pivotButton="0" quotePrefix="0" xfId="0">
      <alignment horizontal="center" vertical="center"/>
    </xf>
    <xf numFmtId="1" fontId="6" fillId="2" borderId="33" applyAlignment="1" pivotButton="0" quotePrefix="0" xfId="0">
      <alignment horizontal="center" vertical="center"/>
    </xf>
    <xf numFmtId="164" fontId="6" fillId="2" borderId="31" applyAlignment="1" pivotButton="0" quotePrefix="0" xfId="1">
      <alignment horizontal="center" vertical="center"/>
    </xf>
    <xf numFmtId="164" fontId="6" fillId="2" borderId="32" applyAlignment="1" pivotButton="0" quotePrefix="0" xfId="1">
      <alignment horizontal="center" vertical="center"/>
    </xf>
    <xf numFmtId="164" fontId="6" fillId="2" borderId="33" applyAlignment="1" pivotButton="0" quotePrefix="0" xfId="1">
      <alignment horizontal="center" vertical="center"/>
    </xf>
    <xf numFmtId="1" fontId="6" fillId="2" borderId="32" applyAlignment="1" pivotButton="0" quotePrefix="0" xfId="0">
      <alignment horizontal="center"/>
    </xf>
    <xf numFmtId="1" fontId="6" fillId="2" borderId="33" applyAlignment="1" pivotButton="0" quotePrefix="0" xfId="0">
      <alignment horizontal="center"/>
    </xf>
    <xf numFmtId="164" fontId="6" fillId="2" borderId="18" applyAlignment="1" pivotButton="0" quotePrefix="0" xfId="1">
      <alignment horizontal="center" vertical="center"/>
    </xf>
    <xf numFmtId="0" fontId="13" fillId="0" borderId="35" applyAlignment="1" pivotButton="0" quotePrefix="0" xfId="0">
      <alignment horizontal="left" vertical="center"/>
    </xf>
    <xf numFmtId="0" fontId="0" fillId="0" borderId="26" pivotButton="0" quotePrefix="0" xfId="0"/>
    <xf numFmtId="164" fontId="18" fillId="0" borderId="0" pivotButton="0" quotePrefix="0" xfId="1"/>
    <xf numFmtId="164" fontId="18" fillId="0" borderId="0" applyAlignment="1" pivotButton="0" quotePrefix="0" xfId="1">
      <alignment horizontal="center"/>
    </xf>
    <xf numFmtId="164" fontId="18" fillId="0" borderId="0" applyAlignment="1" pivotButton="0" quotePrefix="0" xfId="1">
      <alignment wrapText="1"/>
    </xf>
    <xf numFmtId="164" fontId="18" fillId="0" borderId="0" applyAlignment="1" pivotButton="0" quotePrefix="0" xfId="1">
      <alignment horizontal="center" wrapText="1"/>
    </xf>
    <xf numFmtId="166" fontId="5" fillId="2" borderId="29" pivotButton="0" quotePrefix="0" xfId="0"/>
    <xf numFmtId="164" fontId="9" fillId="0" borderId="0" pivotButton="0" quotePrefix="0" xfId="1"/>
    <xf numFmtId="1" fontId="6" fillId="0" borderId="14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  <xf numFmtId="166" fontId="5" fillId="2" borderId="0" applyAlignment="1" pivotButton="0" quotePrefix="0" xfId="0">
      <alignment horizontal="center" vertical="center" wrapText="1"/>
    </xf>
    <xf numFmtId="166" fontId="5" fillId="0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164" fontId="13" fillId="0" borderId="3" applyAlignment="1" pivotButton="0" quotePrefix="0" xfId="1">
      <alignment horizontal="center" vertical="center"/>
    </xf>
    <xf numFmtId="0" fontId="0" fillId="0" borderId="3" pivotButton="0" quotePrefix="0" xfId="0"/>
    <xf numFmtId="165" fontId="14" fillId="0" borderId="16" applyAlignment="1" pivotButton="0" quotePrefix="0" xfId="0">
      <alignment horizontal="center" vertical="center"/>
    </xf>
    <xf numFmtId="165" fontId="14" fillId="0" borderId="8" applyAlignment="1" pivotButton="0" quotePrefix="0" xfId="0">
      <alignment horizontal="center" vertical="center"/>
    </xf>
    <xf numFmtId="165" fontId="14" fillId="0" borderId="7" applyAlignment="1" pivotButton="0" quotePrefix="0" xfId="0">
      <alignment horizontal="center" vertical="center"/>
    </xf>
    <xf numFmtId="165" fontId="14" fillId="0" borderId="11" applyAlignment="1" pivotButton="0" quotePrefix="0" xfId="0">
      <alignment horizontal="center" vertical="center"/>
    </xf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6" fontId="7" fillId="2" borderId="29" pivotButton="0" quotePrefix="0" xfId="0"/>
    <xf numFmtId="167" fontId="0" fillId="2" borderId="0" pivotButton="0" quotePrefix="0" xfId="0"/>
    <xf numFmtId="167" fontId="0" fillId="2" borderId="0" pivotButton="0" quotePrefix="0" xfId="1"/>
    <xf numFmtId="168" fontId="0" fillId="2" borderId="0" pivotButton="0" quotePrefix="0" xfId="0"/>
    <xf numFmtId="168" fontId="17" fillId="2" borderId="0" pivotButton="0" quotePrefix="0" xfId="0"/>
    <xf numFmtId="169" fontId="0" fillId="2" borderId="0" pivotButton="0" quotePrefix="0" xfId="0"/>
    <xf numFmtId="164" fontId="6" fillId="2" borderId="17" applyAlignment="1" pivotButton="0" quotePrefix="0" xfId="1">
      <alignment horizontal="center"/>
    </xf>
    <xf numFmtId="164" fontId="6" fillId="3" borderId="17" applyAlignment="1" pivotButton="0" quotePrefix="0" xfId="1">
      <alignment horizontal="center"/>
    </xf>
    <xf numFmtId="164" fontId="6" fillId="2" borderId="0" applyAlignment="1" pivotButton="0" quotePrefix="0" xfId="1">
      <alignment horizontal="center" vertical="center"/>
    </xf>
    <xf numFmtId="1" fontId="6" fillId="2" borderId="2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4" fontId="6" fillId="2" borderId="32" applyAlignment="1" pivotButton="0" quotePrefix="0" xfId="1">
      <alignment horizontal="center" vertical="center"/>
    </xf>
    <xf numFmtId="164" fontId="6" fillId="2" borderId="29" applyAlignment="1" pivotButton="0" quotePrefix="0" xfId="1">
      <alignment horizontal="center" vertical="center"/>
    </xf>
    <xf numFmtId="164" fontId="6" fillId="2" borderId="0" applyAlignment="1" pivotButton="0" quotePrefix="0" xfId="1">
      <alignment horizontal="center"/>
    </xf>
    <xf numFmtId="164" fontId="6" fillId="2" borderId="18" applyAlignment="1" pivotButton="0" quotePrefix="0" xfId="1">
      <alignment horizontal="center"/>
    </xf>
    <xf numFmtId="164" fontId="11" fillId="0" borderId="0" applyAlignment="1" pivotButton="0" quotePrefix="0" xfId="1">
      <alignment horizontal="center"/>
    </xf>
    <xf numFmtId="164" fontId="6" fillId="2" borderId="32" applyAlignment="1" pivotButton="0" quotePrefix="0" xfId="1">
      <alignment horizontal="center"/>
    </xf>
    <xf numFmtId="164" fontId="6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6" fillId="2" borderId="18" applyAlignment="1" pivotButton="0" quotePrefix="0" xfId="1">
      <alignment horizontal="center" vertical="center"/>
    </xf>
    <xf numFmtId="0" fontId="0" fillId="0" borderId="18" pivotButton="0" quotePrefix="0" xfId="0"/>
  </cellXfs>
  <cellStyles count="3">
    <cellStyle name="Normal" xfId="0" builtinId="0"/>
    <cellStyle name="Currency" xfId="1" builtinId="4"/>
    <cellStyle name="Percent" xfId="2" builtinId="5"/>
  </cellStyles>
  <dxfs count="3">
    <dxf>
      <font>
        <b val="1"/>
        <condense val="0"/>
        <color indexed="36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2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5" enableFormatConditionsCalculation="0">
    <outlinePr summaryBelow="1" summaryRight="1"/>
    <pageSetUpPr/>
  </sheetPr>
  <dimension ref="A2:G13"/>
  <sheetViews>
    <sheetView showGridLines="0" workbookViewId="0">
      <selection activeCell="B5" sqref="B5:G5"/>
    </sheetView>
  </sheetViews>
  <sheetFormatPr baseColWidth="10" defaultColWidth="8.83203125" defaultRowHeight="16"/>
  <cols>
    <col width="2.5" customWidth="1" style="39" min="1" max="1"/>
    <col width="13.83203125" customWidth="1" style="39" min="2" max="2"/>
    <col width="19.5" customWidth="1" style="39" min="3" max="3"/>
    <col width="28.33203125" bestFit="1" customWidth="1" style="40" min="4" max="4"/>
    <col width="29.6640625" customWidth="1" style="39" min="5" max="5"/>
    <col width="18.83203125" customWidth="1" style="39" min="6" max="6"/>
    <col width="17.83203125" bestFit="1" customWidth="1" style="39" min="7" max="7"/>
    <col width="8.83203125" customWidth="1" style="39" min="8" max="16384"/>
  </cols>
  <sheetData>
    <row r="1" ht="17" customHeight="1" thickBot="1"/>
    <row r="2">
      <c r="B2" s="251" t="inlineStr">
        <is>
          <t>Total # of Members</t>
        </is>
      </c>
      <c r="C2" s="252" t="n"/>
    </row>
    <row r="3" ht="17" customHeight="1" thickBot="1">
      <c r="B3" s="41" t="n">
        <v>10000</v>
      </c>
      <c r="C3" s="42" t="n"/>
    </row>
    <row r="4" customFormat="1" s="253">
      <c r="D4" s="254" t="n"/>
      <c r="E4" s="253" t="n"/>
    </row>
    <row r="5" ht="30" customFormat="1" customHeight="1" s="255">
      <c r="A5" s="256" t="n"/>
      <c r="B5" s="213" t="inlineStr">
        <is>
          <t>Price</t>
        </is>
      </c>
      <c r="C5" s="213" t="inlineStr">
        <is>
          <t># respondents with WTP = Price</t>
        </is>
      </c>
      <c r="D5" s="213" t="inlineStr">
        <is>
          <t># of respondents willing to pay at least the price</t>
        </is>
      </c>
      <c r="E5" s="213" t="inlineStr">
        <is>
          <t>% of respondents willing to pay at least the price</t>
        </is>
      </c>
      <c r="F5" s="213" t="inlineStr">
        <is>
          <t>Total demand</t>
        </is>
      </c>
      <c r="G5" s="213" t="inlineStr">
        <is>
          <t>Total revenue</t>
        </is>
      </c>
    </row>
    <row r="6">
      <c r="B6" s="257" t="n">
        <v>150</v>
      </c>
      <c r="C6" s="214">
        <f>COUNTIF('Q1 WTP data'!$H$4:$H$116,B6)</f>
        <v/>
      </c>
      <c r="D6" s="214">
        <f>COUNTIF('Q1 WTP data'!$H$4:$H$116,"&gt;="&amp;B6)</f>
        <v/>
      </c>
      <c r="E6" s="215">
        <f>D6/113</f>
        <v/>
      </c>
      <c r="F6" s="216">
        <f>E6*B$3</f>
        <v/>
      </c>
      <c r="G6" s="216">
        <f>B6*F6</f>
        <v/>
      </c>
    </row>
    <row r="7">
      <c r="B7" s="257" t="n">
        <v>125</v>
      </c>
      <c r="C7" s="214">
        <f>COUNTIF('Q1 WTP data'!$H$4:$H$116,B7)</f>
        <v/>
      </c>
      <c r="D7" s="214">
        <f>COUNTIF('Q1 WTP data'!$H$4:$H$116,"&gt;="&amp;B7)</f>
        <v/>
      </c>
      <c r="E7" s="215">
        <f>D7/113</f>
        <v/>
      </c>
      <c r="F7" s="216">
        <f>E7*B$3</f>
        <v/>
      </c>
      <c r="G7" s="216">
        <f>B7*F7</f>
        <v/>
      </c>
    </row>
    <row r="8">
      <c r="B8" s="257" t="n">
        <v>100</v>
      </c>
      <c r="C8" s="214">
        <f>COUNTIF('Q1 WTP data'!$H$4:$H$116,B8)</f>
        <v/>
      </c>
      <c r="D8" s="214">
        <f>COUNTIF('Q1 WTP data'!$H$4:$H$116,"&gt;="&amp;B8)</f>
        <v/>
      </c>
      <c r="E8" s="215">
        <f>D8/113</f>
        <v/>
      </c>
      <c r="F8" s="216">
        <f>E8*B$3</f>
        <v/>
      </c>
      <c r="G8" s="216">
        <f>B8*F8</f>
        <v/>
      </c>
    </row>
    <row r="9">
      <c r="B9" s="257" t="n">
        <v>75</v>
      </c>
      <c r="C9" s="214">
        <f>COUNTIF('Q1 WTP data'!$H$4:$H$116,B9)</f>
        <v/>
      </c>
      <c r="D9" s="214">
        <f>COUNTIF('Q1 WTP data'!$H$4:$H$116,"&gt;="&amp;B9)</f>
        <v/>
      </c>
      <c r="E9" s="215">
        <f>D9/113</f>
        <v/>
      </c>
      <c r="F9" s="216">
        <f>E9*B$3</f>
        <v/>
      </c>
      <c r="G9" s="216">
        <f>B9*F9</f>
        <v/>
      </c>
    </row>
    <row r="10">
      <c r="B10" s="257" t="n">
        <v>50</v>
      </c>
      <c r="C10" s="214">
        <f>COUNTIF('Q1 WTP data'!$H$4:$H$116,B10)</f>
        <v/>
      </c>
      <c r="D10" s="214">
        <f>COUNTIF('Q1 WTP data'!$H$4:$H$116,"&gt;="&amp;B10)</f>
        <v/>
      </c>
      <c r="E10" s="215">
        <f>D10/113</f>
        <v/>
      </c>
      <c r="F10" s="216">
        <f>E10*B$3</f>
        <v/>
      </c>
      <c r="G10" s="216">
        <f>B10*F10</f>
        <v/>
      </c>
    </row>
    <row r="11">
      <c r="B11" s="257" t="n">
        <v>25</v>
      </c>
      <c r="C11" s="214">
        <f>COUNTIF('Q1 WTP data'!$H$4:$H$116,B11)</f>
        <v/>
      </c>
      <c r="D11" s="214">
        <f>COUNTIF('Q1 WTP data'!$H$4:$H$116,"&gt;="&amp;B11)</f>
        <v/>
      </c>
      <c r="E11" s="215">
        <f>D11/113</f>
        <v/>
      </c>
      <c r="F11" s="216">
        <f>E11*B$3</f>
        <v/>
      </c>
      <c r="G11" s="216">
        <f>B11*F11</f>
        <v/>
      </c>
    </row>
    <row r="12">
      <c r="B12" s="20" t="n"/>
      <c r="C12" s="20" t="n"/>
      <c r="D12" s="20" t="n"/>
      <c r="E12" s="20" t="n"/>
    </row>
    <row r="13">
      <c r="B13" s="20" t="n"/>
      <c r="C13" s="20" t="n"/>
      <c r="D13" s="20" t="n"/>
      <c r="E13" s="20" t="n"/>
    </row>
  </sheetData>
  <mergeCells count="1">
    <mergeCell ref="B2:C2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>
  <sheetPr codeName="Sheet8" enableFormatConditionsCalculation="0">
    <outlinePr summaryBelow="1" summaryRight="1"/>
    <pageSetUpPr/>
  </sheetPr>
  <dimension ref="A2:H124"/>
  <sheetViews>
    <sheetView showGridLines="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K14" sqref="K14"/>
    </sheetView>
  </sheetViews>
  <sheetFormatPr baseColWidth="10" defaultColWidth="8.83203125" defaultRowHeight="21" customHeight="1"/>
  <cols>
    <col width="9.33203125" customWidth="1" style="10" min="1" max="1"/>
    <col width="6.83203125" bestFit="1" customWidth="1" style="10" min="2" max="2"/>
    <col width="7.33203125" bestFit="1" customWidth="1" style="10" min="3" max="4"/>
    <col width="6.83203125" bestFit="1" customWidth="1" style="10" min="5" max="6"/>
    <col width="7.33203125" bestFit="1" customWidth="1" style="10" min="7" max="7"/>
    <col width="9.6640625" bestFit="1" customWidth="1" style="12" min="8" max="8"/>
    <col width="8.83203125" customWidth="1" style="20" min="9" max="16384"/>
  </cols>
  <sheetData>
    <row r="1" ht="21" customHeight="1" thickBot="1"/>
    <row r="2" ht="21" customFormat="1" customHeight="1" s="258">
      <c r="A2" s="4" t="inlineStr">
        <is>
          <t>Client</t>
        </is>
      </c>
      <c r="B2" s="259" t="inlineStr">
        <is>
          <t>MAXIMUM WTP for each time period</t>
        </is>
      </c>
      <c r="C2" s="260" t="n"/>
      <c r="D2" s="260" t="n"/>
      <c r="E2" s="260" t="n"/>
      <c r="F2" s="260" t="n"/>
      <c r="G2" s="261" t="n"/>
      <c r="H2" s="186" t="inlineStr">
        <is>
          <t>Max.WTP</t>
        </is>
      </c>
    </row>
    <row r="3" ht="21" customFormat="1" customHeight="1" s="258" thickBot="1">
      <c r="A3" s="5" t="inlineStr">
        <is>
          <t>ID</t>
        </is>
      </c>
      <c r="B3" s="13" t="inlineStr">
        <is>
          <t>6am-9am</t>
        </is>
      </c>
      <c r="C3" s="14" t="inlineStr">
        <is>
          <t>9am-noon</t>
        </is>
      </c>
      <c r="D3" s="14" t="inlineStr">
        <is>
          <t>Noon-2pm</t>
        </is>
      </c>
      <c r="E3" s="14" t="inlineStr">
        <is>
          <t>2pm-5pm</t>
        </is>
      </c>
      <c r="F3" s="14" t="inlineStr">
        <is>
          <t>5pm-9pm</t>
        </is>
      </c>
      <c r="G3" s="15" t="inlineStr">
        <is>
          <t>9pm-close</t>
        </is>
      </c>
      <c r="H3" s="189" t="inlineStr">
        <is>
          <t>Day</t>
        </is>
      </c>
    </row>
    <row r="4" ht="21" customHeight="1" thickTop="1">
      <c r="A4" s="6" t="n">
        <v>1</v>
      </c>
      <c r="B4" s="7" t="n">
        <v>75</v>
      </c>
      <c r="C4" s="77" t="n">
        <v>25</v>
      </c>
      <c r="D4" s="77" t="n">
        <v>50</v>
      </c>
      <c r="E4" s="77" t="n">
        <v>25</v>
      </c>
      <c r="F4" s="77" t="n">
        <v>75</v>
      </c>
      <c r="G4" s="9" t="n">
        <v>50</v>
      </c>
      <c r="H4" s="103">
        <f>MAX(B4:G4)</f>
        <v/>
      </c>
    </row>
    <row r="5" ht="21" customHeight="1">
      <c r="A5" s="6" t="n">
        <v>2</v>
      </c>
      <c r="B5" s="7" t="n">
        <v>25</v>
      </c>
      <c r="C5" s="77" t="n">
        <v>25</v>
      </c>
      <c r="D5" s="77" t="n">
        <v>25</v>
      </c>
      <c r="E5" s="77" t="n">
        <v>25</v>
      </c>
      <c r="F5" s="77" t="n">
        <v>75</v>
      </c>
      <c r="G5" s="9" t="n">
        <v>75</v>
      </c>
      <c r="H5" s="103">
        <f>MAX(B5:G5)</f>
        <v/>
      </c>
    </row>
    <row r="6" ht="21" customHeight="1">
      <c r="A6" s="6" t="n">
        <v>3</v>
      </c>
      <c r="B6" s="7" t="n">
        <v>25</v>
      </c>
      <c r="C6" s="77" t="n">
        <v>25</v>
      </c>
      <c r="D6" s="77" t="n">
        <v>25</v>
      </c>
      <c r="E6" s="77" t="n">
        <v>25</v>
      </c>
      <c r="F6" s="77" t="n">
        <v>50</v>
      </c>
      <c r="G6" s="9" t="n">
        <v>50</v>
      </c>
      <c r="H6" s="103">
        <f>MAX(B6:G6)</f>
        <v/>
      </c>
    </row>
    <row r="7" ht="21" customHeight="1">
      <c r="A7" s="6" t="n">
        <v>4</v>
      </c>
      <c r="B7" s="7" t="n">
        <v>25</v>
      </c>
      <c r="C7" s="77" t="n">
        <v>25</v>
      </c>
      <c r="D7" s="77" t="n">
        <v>25</v>
      </c>
      <c r="E7" s="77" t="n">
        <v>25</v>
      </c>
      <c r="F7" s="77" t="n">
        <v>50</v>
      </c>
      <c r="G7" s="9" t="n">
        <v>75</v>
      </c>
      <c r="H7" s="103">
        <f>MAX(B7:G7)</f>
        <v/>
      </c>
    </row>
    <row r="8" ht="21" customHeight="1">
      <c r="A8" s="6" t="n">
        <v>5</v>
      </c>
      <c r="B8" s="7" t="n">
        <v>75</v>
      </c>
      <c r="C8" s="77" t="n">
        <v>75</v>
      </c>
      <c r="D8" s="77" t="n">
        <v>75</v>
      </c>
      <c r="E8" s="77" t="n">
        <v>75</v>
      </c>
      <c r="F8" s="77" t="n">
        <v>75</v>
      </c>
      <c r="G8" s="9" t="n">
        <v>75</v>
      </c>
      <c r="H8" s="103">
        <f>MAX(B8:G8)</f>
        <v/>
      </c>
    </row>
    <row r="9" ht="21" customHeight="1">
      <c r="A9" s="6" t="n">
        <v>6</v>
      </c>
      <c r="B9" s="7" t="n">
        <v>25</v>
      </c>
      <c r="C9" s="77" t="n">
        <v>25</v>
      </c>
      <c r="D9" s="77" t="n">
        <v>25</v>
      </c>
      <c r="E9" s="77" t="n">
        <v>25</v>
      </c>
      <c r="F9" s="77" t="n">
        <v>75</v>
      </c>
      <c r="G9" s="9" t="n">
        <v>75</v>
      </c>
      <c r="H9" s="103">
        <f>MAX(B9:G9)</f>
        <v/>
      </c>
    </row>
    <row r="10" ht="21" customHeight="1">
      <c r="A10" s="6" t="n">
        <v>7</v>
      </c>
      <c r="B10" s="7" t="n">
        <v>25</v>
      </c>
      <c r="C10" s="77" t="n">
        <v>25</v>
      </c>
      <c r="D10" s="77" t="n">
        <v>25</v>
      </c>
      <c r="E10" s="77" t="n">
        <v>25</v>
      </c>
      <c r="F10" s="77" t="n">
        <v>25</v>
      </c>
      <c r="G10" s="9" t="n">
        <v>25</v>
      </c>
      <c r="H10" s="103">
        <f>MAX(B10:G10)</f>
        <v/>
      </c>
    </row>
    <row r="11" ht="21" customHeight="1">
      <c r="A11" s="6" t="n">
        <v>8</v>
      </c>
      <c r="B11" s="7" t="n">
        <v>50</v>
      </c>
      <c r="C11" s="77" t="n">
        <v>50</v>
      </c>
      <c r="D11" s="77" t="n">
        <v>50</v>
      </c>
      <c r="E11" s="77" t="n">
        <v>50</v>
      </c>
      <c r="F11" s="77" t="n">
        <v>50</v>
      </c>
      <c r="G11" s="9" t="n">
        <v>50</v>
      </c>
      <c r="H11" s="103">
        <f>MAX(B11:G11)</f>
        <v/>
      </c>
    </row>
    <row r="12" ht="21" customHeight="1">
      <c r="A12" s="6" t="n">
        <v>9</v>
      </c>
      <c r="B12" s="7" t="n">
        <v>100</v>
      </c>
      <c r="C12" s="77" t="n">
        <v>100</v>
      </c>
      <c r="D12" s="77" t="n">
        <v>100</v>
      </c>
      <c r="E12" s="77" t="n">
        <v>100</v>
      </c>
      <c r="F12" s="77" t="n">
        <v>100</v>
      </c>
      <c r="G12" s="9" t="n">
        <v>100</v>
      </c>
      <c r="H12" s="103">
        <f>MAX(B12:G12)</f>
        <v/>
      </c>
    </row>
    <row r="13" ht="21" customHeight="1">
      <c r="A13" s="6" t="n">
        <v>10</v>
      </c>
      <c r="B13" s="7" t="n">
        <v>100</v>
      </c>
      <c r="C13" s="77" t="n">
        <v>100</v>
      </c>
      <c r="D13" s="77" t="n">
        <v>100</v>
      </c>
      <c r="E13" s="77" t="n">
        <v>100</v>
      </c>
      <c r="F13" s="77" t="n">
        <v>100</v>
      </c>
      <c r="G13" s="9" t="n">
        <v>100</v>
      </c>
      <c r="H13" s="103">
        <f>MAX(B13:G13)</f>
        <v/>
      </c>
    </row>
    <row r="14" ht="21" customHeight="1">
      <c r="A14" s="6" t="n">
        <v>11</v>
      </c>
      <c r="B14" s="7" t="n">
        <v>25</v>
      </c>
      <c r="C14" s="77" t="n">
        <v>25</v>
      </c>
      <c r="D14" s="77" t="n">
        <v>25</v>
      </c>
      <c r="E14" s="77" t="n">
        <v>25</v>
      </c>
      <c r="F14" s="77" t="n">
        <v>50</v>
      </c>
      <c r="G14" s="9" t="n">
        <v>25</v>
      </c>
      <c r="H14" s="103">
        <f>MAX(B14:G14)</f>
        <v/>
      </c>
    </row>
    <row r="15" ht="21" customHeight="1">
      <c r="A15" s="6" t="n">
        <v>12</v>
      </c>
      <c r="B15" s="7" t="n">
        <v>50</v>
      </c>
      <c r="C15" s="77" t="n">
        <v>75</v>
      </c>
      <c r="D15" s="77" t="n">
        <v>150</v>
      </c>
      <c r="E15" s="77" t="n">
        <v>75</v>
      </c>
      <c r="F15" s="77" t="n">
        <v>150</v>
      </c>
      <c r="G15" s="9" t="n">
        <v>75</v>
      </c>
      <c r="H15" s="103">
        <f>MAX(B15:G15)</f>
        <v/>
      </c>
    </row>
    <row r="16" ht="21" customHeight="1">
      <c r="A16" s="6" t="n">
        <v>13</v>
      </c>
      <c r="B16" s="7" t="n">
        <v>25</v>
      </c>
      <c r="C16" s="77" t="n">
        <v>25</v>
      </c>
      <c r="D16" s="77" t="n">
        <v>25</v>
      </c>
      <c r="E16" s="77" t="n">
        <v>25</v>
      </c>
      <c r="F16" s="77" t="n">
        <v>25</v>
      </c>
      <c r="G16" s="9" t="n">
        <v>25</v>
      </c>
      <c r="H16" s="103">
        <f>MAX(B16:G16)</f>
        <v/>
      </c>
    </row>
    <row r="17" ht="21" customHeight="1">
      <c r="A17" s="6" t="n">
        <v>14</v>
      </c>
      <c r="B17" s="7" t="n">
        <v>50</v>
      </c>
      <c r="C17" s="77" t="n">
        <v>75</v>
      </c>
      <c r="D17" s="77" t="n">
        <v>100</v>
      </c>
      <c r="E17" s="77" t="n">
        <v>100</v>
      </c>
      <c r="F17" s="77" t="n">
        <v>125</v>
      </c>
      <c r="G17" s="9" t="n">
        <v>100</v>
      </c>
      <c r="H17" s="103">
        <f>MAX(B17:G17)</f>
        <v/>
      </c>
    </row>
    <row r="18" ht="21" customHeight="1">
      <c r="A18" s="76" t="n">
        <v>15</v>
      </c>
      <c r="B18" s="77" t="n">
        <v>100</v>
      </c>
      <c r="C18" s="77" t="n">
        <v>125</v>
      </c>
      <c r="D18" s="77" t="n">
        <v>125</v>
      </c>
      <c r="E18" s="77" t="n">
        <v>125</v>
      </c>
      <c r="F18" s="77" t="n">
        <v>125</v>
      </c>
      <c r="G18" s="77" t="n">
        <v>100</v>
      </c>
      <c r="H18" s="190">
        <f>MAX(B18:G18)</f>
        <v/>
      </c>
    </row>
    <row r="19" ht="21" customHeight="1">
      <c r="A19" s="76" t="n">
        <v>16</v>
      </c>
      <c r="B19" s="77" t="n">
        <v>25</v>
      </c>
      <c r="C19" s="77" t="n">
        <v>25</v>
      </c>
      <c r="D19" s="77" t="n">
        <v>25</v>
      </c>
      <c r="E19" s="77" t="n">
        <v>25</v>
      </c>
      <c r="F19" s="77" t="n">
        <v>25</v>
      </c>
      <c r="G19" s="77" t="n">
        <v>25</v>
      </c>
      <c r="H19" s="190">
        <f>MAX(B19:G19)</f>
        <v/>
      </c>
    </row>
    <row r="20" ht="21" customHeight="1">
      <c r="A20" s="76" t="n">
        <v>17</v>
      </c>
      <c r="B20" s="77" t="n">
        <v>25</v>
      </c>
      <c r="C20" s="77" t="n">
        <v>50</v>
      </c>
      <c r="D20" s="77" t="n">
        <v>50</v>
      </c>
      <c r="E20" s="77" t="n">
        <v>50</v>
      </c>
      <c r="F20" s="77" t="n">
        <v>50</v>
      </c>
      <c r="G20" s="77" t="n">
        <v>25</v>
      </c>
      <c r="H20" s="190">
        <f>MAX(B20:G20)</f>
        <v/>
      </c>
    </row>
    <row r="21" ht="21" customHeight="1">
      <c r="A21" s="76" t="n">
        <v>18</v>
      </c>
      <c r="B21" s="77" t="n">
        <v>75</v>
      </c>
      <c r="C21" s="77" t="n">
        <v>50</v>
      </c>
      <c r="D21" s="77" t="n">
        <v>50</v>
      </c>
      <c r="E21" s="77" t="n">
        <v>50</v>
      </c>
      <c r="F21" s="77" t="n">
        <v>75</v>
      </c>
      <c r="G21" s="77" t="n">
        <v>50</v>
      </c>
      <c r="H21" s="190">
        <f>MAX(B21:G21)</f>
        <v/>
      </c>
    </row>
    <row r="22" ht="21" customHeight="1">
      <c r="A22" s="76" t="n">
        <v>19</v>
      </c>
      <c r="B22" s="77" t="n">
        <v>25</v>
      </c>
      <c r="C22" s="77" t="n">
        <v>75</v>
      </c>
      <c r="D22" s="77" t="n">
        <v>75</v>
      </c>
      <c r="E22" s="77" t="n">
        <v>75</v>
      </c>
      <c r="F22" s="77" t="n">
        <v>100</v>
      </c>
      <c r="G22" s="77" t="n">
        <v>100</v>
      </c>
      <c r="H22" s="190">
        <f>MAX(B22:G22)</f>
        <v/>
      </c>
    </row>
    <row r="23" ht="21" customHeight="1">
      <c r="A23" s="76" t="n">
        <v>20</v>
      </c>
      <c r="B23" s="77" t="n">
        <v>25</v>
      </c>
      <c r="C23" s="77" t="n">
        <v>25</v>
      </c>
      <c r="D23" s="77" t="n">
        <v>25</v>
      </c>
      <c r="E23" s="77" t="n">
        <v>25</v>
      </c>
      <c r="F23" s="77" t="n">
        <v>50</v>
      </c>
      <c r="G23" s="77" t="n">
        <v>25</v>
      </c>
      <c r="H23" s="190">
        <f>MAX(B23:G23)</f>
        <v/>
      </c>
    </row>
    <row r="24" ht="21" customHeight="1">
      <c r="A24" s="6" t="n">
        <v>21</v>
      </c>
      <c r="B24" s="7" t="n">
        <v>75</v>
      </c>
      <c r="C24" s="77" t="n">
        <v>75</v>
      </c>
      <c r="D24" s="77" t="n">
        <v>125</v>
      </c>
      <c r="E24" s="77" t="n">
        <v>125</v>
      </c>
      <c r="F24" s="77" t="n">
        <v>125</v>
      </c>
      <c r="G24" s="77" t="n">
        <v>100</v>
      </c>
      <c r="H24" s="190">
        <f>MAX(B24:G24)</f>
        <v/>
      </c>
    </row>
    <row r="25" ht="21" customHeight="1">
      <c r="A25" s="6" t="n">
        <v>22</v>
      </c>
      <c r="B25" s="7" t="n">
        <v>25</v>
      </c>
      <c r="C25" s="77" t="n">
        <v>25</v>
      </c>
      <c r="D25" s="77" t="n">
        <v>25</v>
      </c>
      <c r="E25" s="77" t="n">
        <v>25</v>
      </c>
      <c r="F25" s="77" t="n">
        <v>100</v>
      </c>
      <c r="G25" s="9" t="n">
        <v>25</v>
      </c>
      <c r="H25" s="103">
        <f>MAX(B25:G25)</f>
        <v/>
      </c>
    </row>
    <row r="26" ht="21" customHeight="1">
      <c r="A26" s="6" t="n">
        <v>23</v>
      </c>
      <c r="B26" s="7" t="n">
        <v>25</v>
      </c>
      <c r="C26" s="77" t="n">
        <v>25</v>
      </c>
      <c r="D26" s="77" t="n">
        <v>25</v>
      </c>
      <c r="E26" s="77" t="n">
        <v>25</v>
      </c>
      <c r="F26" s="77" t="n">
        <v>25</v>
      </c>
      <c r="G26" s="9" t="n">
        <v>25</v>
      </c>
      <c r="H26" s="103">
        <f>MAX(B26:G26)</f>
        <v/>
      </c>
    </row>
    <row r="27" ht="21" customHeight="1">
      <c r="A27" s="6" t="n">
        <v>24</v>
      </c>
      <c r="B27" s="7" t="n">
        <v>25</v>
      </c>
      <c r="C27" s="77" t="n">
        <v>25</v>
      </c>
      <c r="D27" s="77" t="n">
        <v>25</v>
      </c>
      <c r="E27" s="77" t="n">
        <v>25</v>
      </c>
      <c r="F27" s="77" t="n">
        <v>25</v>
      </c>
      <c r="G27" s="9" t="n">
        <v>25</v>
      </c>
      <c r="H27" s="103">
        <f>MAX(B27:G27)</f>
        <v/>
      </c>
    </row>
    <row r="28" ht="21" customHeight="1">
      <c r="A28" s="6" t="n">
        <v>25</v>
      </c>
      <c r="B28" s="7" t="n">
        <v>75</v>
      </c>
      <c r="C28" s="77" t="n">
        <v>75</v>
      </c>
      <c r="D28" s="77" t="n">
        <v>75</v>
      </c>
      <c r="E28" s="77" t="n">
        <v>75</v>
      </c>
      <c r="F28" s="77" t="n">
        <v>75</v>
      </c>
      <c r="G28" s="9" t="n">
        <v>75</v>
      </c>
      <c r="H28" s="103">
        <f>MAX(B28:G28)</f>
        <v/>
      </c>
    </row>
    <row r="29" ht="21" customHeight="1">
      <c r="A29" s="6" t="n">
        <v>26</v>
      </c>
      <c r="B29" s="7" t="n">
        <v>25</v>
      </c>
      <c r="C29" s="77" t="n">
        <v>25</v>
      </c>
      <c r="D29" s="77" t="n">
        <v>25</v>
      </c>
      <c r="E29" s="77" t="n">
        <v>25</v>
      </c>
      <c r="F29" s="77" t="n">
        <v>50</v>
      </c>
      <c r="G29" s="9" t="n">
        <v>50</v>
      </c>
      <c r="H29" s="103">
        <f>MAX(B29:G29)</f>
        <v/>
      </c>
    </row>
    <row r="30" ht="21" customHeight="1">
      <c r="A30" s="6" t="n">
        <v>27</v>
      </c>
      <c r="B30" s="7" t="n">
        <v>100</v>
      </c>
      <c r="C30" s="77" t="n">
        <v>100</v>
      </c>
      <c r="D30" s="77" t="n">
        <v>100</v>
      </c>
      <c r="E30" s="77" t="n">
        <v>100</v>
      </c>
      <c r="F30" s="77" t="n">
        <v>100</v>
      </c>
      <c r="G30" s="9" t="n">
        <v>100</v>
      </c>
      <c r="H30" s="103">
        <f>MAX(B30:G30)</f>
        <v/>
      </c>
    </row>
    <row r="31" ht="21" customHeight="1">
      <c r="A31" s="6" t="n">
        <v>28</v>
      </c>
      <c r="B31" s="7" t="n">
        <v>75</v>
      </c>
      <c r="C31" s="77" t="n">
        <v>75</v>
      </c>
      <c r="D31" s="77" t="n">
        <v>75</v>
      </c>
      <c r="E31" s="77" t="n">
        <v>75</v>
      </c>
      <c r="F31" s="77" t="n">
        <v>75</v>
      </c>
      <c r="G31" s="9" t="n">
        <v>75</v>
      </c>
      <c r="H31" s="103">
        <f>MAX(B31:G31)</f>
        <v/>
      </c>
    </row>
    <row r="32" ht="21" customHeight="1">
      <c r="A32" s="6" t="n">
        <v>29</v>
      </c>
      <c r="B32" s="7" t="n">
        <v>25</v>
      </c>
      <c r="C32" s="77" t="n">
        <v>25</v>
      </c>
      <c r="D32" s="77" t="n">
        <v>25</v>
      </c>
      <c r="E32" s="77" t="n">
        <v>25</v>
      </c>
      <c r="F32" s="77" t="n">
        <v>25</v>
      </c>
      <c r="G32" s="9" t="n">
        <v>25</v>
      </c>
      <c r="H32" s="103">
        <f>MAX(B32:G32)</f>
        <v/>
      </c>
    </row>
    <row r="33" ht="21" customHeight="1">
      <c r="A33" s="6" t="n">
        <v>30</v>
      </c>
      <c r="B33" s="7" t="n">
        <v>50</v>
      </c>
      <c r="C33" s="77" t="n">
        <v>25</v>
      </c>
      <c r="D33" s="77" t="n">
        <v>25</v>
      </c>
      <c r="E33" s="77" t="n">
        <v>25</v>
      </c>
      <c r="F33" s="77" t="n">
        <v>50</v>
      </c>
      <c r="G33" s="9" t="n">
        <v>25</v>
      </c>
      <c r="H33" s="103">
        <f>MAX(B33:G33)</f>
        <v/>
      </c>
    </row>
    <row r="34" ht="21" customHeight="1">
      <c r="A34" s="6" t="n">
        <v>31</v>
      </c>
      <c r="B34" s="7" t="n">
        <v>50</v>
      </c>
      <c r="C34" s="77" t="n">
        <v>50</v>
      </c>
      <c r="D34" s="77" t="n">
        <v>50</v>
      </c>
      <c r="E34" s="77" t="n">
        <v>50</v>
      </c>
      <c r="F34" s="77" t="n">
        <v>50</v>
      </c>
      <c r="G34" s="9" t="n">
        <v>50</v>
      </c>
      <c r="H34" s="103">
        <f>MAX(B34:G34)</f>
        <v/>
      </c>
    </row>
    <row r="35" ht="21" customHeight="1">
      <c r="A35" s="6" t="n">
        <v>32</v>
      </c>
      <c r="B35" s="7" t="n">
        <v>50</v>
      </c>
      <c r="C35" s="77" t="n">
        <v>50</v>
      </c>
      <c r="D35" s="77" t="n">
        <v>50</v>
      </c>
      <c r="E35" s="77" t="n">
        <v>50</v>
      </c>
      <c r="F35" s="77" t="n">
        <v>75</v>
      </c>
      <c r="G35" s="9" t="n">
        <v>50</v>
      </c>
      <c r="H35" s="103">
        <f>MAX(B35:G35)</f>
        <v/>
      </c>
    </row>
    <row r="36" ht="21" customHeight="1">
      <c r="A36" s="6" t="n">
        <v>33</v>
      </c>
      <c r="B36" s="7" t="n">
        <v>50</v>
      </c>
      <c r="C36" s="77" t="n">
        <v>25</v>
      </c>
      <c r="D36" s="77" t="n">
        <v>25</v>
      </c>
      <c r="E36" s="77" t="n">
        <v>25</v>
      </c>
      <c r="F36" s="77" t="n">
        <v>50</v>
      </c>
      <c r="G36" s="9" t="n">
        <v>25</v>
      </c>
      <c r="H36" s="103">
        <f>MAX(B36:G36)</f>
        <v/>
      </c>
    </row>
    <row r="37" ht="21" customHeight="1">
      <c r="A37" s="6" t="n">
        <v>34</v>
      </c>
      <c r="B37" s="7" t="n">
        <v>25</v>
      </c>
      <c r="C37" s="77" t="n">
        <v>25</v>
      </c>
      <c r="D37" s="77" t="n">
        <v>25</v>
      </c>
      <c r="E37" s="77" t="n">
        <v>75</v>
      </c>
      <c r="F37" s="77" t="n">
        <v>25</v>
      </c>
      <c r="G37" s="9" t="n">
        <v>25</v>
      </c>
      <c r="H37" s="103">
        <f>MAX(B37:G37)</f>
        <v/>
      </c>
    </row>
    <row r="38" ht="21" customHeight="1">
      <c r="A38" s="6" t="n">
        <v>35</v>
      </c>
      <c r="B38" s="7" t="n">
        <v>25</v>
      </c>
      <c r="C38" s="77" t="n">
        <v>25</v>
      </c>
      <c r="D38" s="77" t="n">
        <v>25</v>
      </c>
      <c r="E38" s="77" t="n">
        <v>25</v>
      </c>
      <c r="F38" s="77" t="n">
        <v>75</v>
      </c>
      <c r="G38" s="9" t="n">
        <v>75</v>
      </c>
      <c r="H38" s="103">
        <f>MAX(B38:G38)</f>
        <v/>
      </c>
    </row>
    <row r="39" ht="21" customHeight="1">
      <c r="A39" s="6" t="n">
        <v>36</v>
      </c>
      <c r="B39" s="7" t="n">
        <v>25</v>
      </c>
      <c r="C39" s="77" t="n">
        <v>25</v>
      </c>
      <c r="D39" s="77" t="n">
        <v>25</v>
      </c>
      <c r="E39" s="77" t="n">
        <v>25</v>
      </c>
      <c r="F39" s="77" t="n">
        <v>25</v>
      </c>
      <c r="G39" s="9" t="n">
        <v>25</v>
      </c>
      <c r="H39" s="103">
        <f>MAX(B39:G39)</f>
        <v/>
      </c>
    </row>
    <row r="40" ht="21" customHeight="1">
      <c r="A40" s="6" t="n">
        <v>37</v>
      </c>
      <c r="B40" s="7" t="n">
        <v>50</v>
      </c>
      <c r="C40" s="77" t="n">
        <v>50</v>
      </c>
      <c r="D40" s="77" t="n">
        <v>50</v>
      </c>
      <c r="E40" s="77" t="n">
        <v>50</v>
      </c>
      <c r="F40" s="77" t="n">
        <v>50</v>
      </c>
      <c r="G40" s="9" t="n">
        <v>50</v>
      </c>
      <c r="H40" s="103">
        <f>MAX(B40:G40)</f>
        <v/>
      </c>
    </row>
    <row r="41" ht="21" customHeight="1">
      <c r="A41" s="6" t="n">
        <v>38</v>
      </c>
      <c r="B41" s="7" t="n">
        <v>25</v>
      </c>
      <c r="C41" s="77" t="n">
        <v>25</v>
      </c>
      <c r="D41" s="77" t="n">
        <v>25</v>
      </c>
      <c r="E41" s="77" t="n">
        <v>25</v>
      </c>
      <c r="F41" s="77" t="n">
        <v>25</v>
      </c>
      <c r="G41" s="9" t="n">
        <v>25</v>
      </c>
      <c r="H41" s="103">
        <f>MAX(B41:G41)</f>
        <v/>
      </c>
    </row>
    <row r="42" ht="21" customHeight="1">
      <c r="A42" s="6" t="n">
        <v>39</v>
      </c>
      <c r="B42" s="7" t="n">
        <v>100</v>
      </c>
      <c r="C42" s="77" t="n">
        <v>50</v>
      </c>
      <c r="D42" s="77" t="n">
        <v>50</v>
      </c>
      <c r="E42" s="77" t="n">
        <v>50</v>
      </c>
      <c r="F42" s="77" t="n">
        <v>100</v>
      </c>
      <c r="G42" s="9" t="n">
        <v>50</v>
      </c>
      <c r="H42" s="103">
        <f>MAX(B42:G42)</f>
        <v/>
      </c>
    </row>
    <row r="43" ht="21" customHeight="1">
      <c r="A43" s="6" t="n">
        <v>40</v>
      </c>
      <c r="B43" s="7" t="n">
        <v>75</v>
      </c>
      <c r="C43" s="77" t="n">
        <v>25</v>
      </c>
      <c r="D43" s="77" t="n">
        <v>25</v>
      </c>
      <c r="E43" s="77" t="n">
        <v>25</v>
      </c>
      <c r="F43" s="77" t="n">
        <v>50</v>
      </c>
      <c r="G43" s="9" t="n">
        <v>25</v>
      </c>
      <c r="H43" s="103">
        <f>MAX(B43:G43)</f>
        <v/>
      </c>
    </row>
    <row r="44" ht="21" customHeight="1">
      <c r="A44" s="6" t="n">
        <v>41</v>
      </c>
      <c r="B44" s="7" t="n">
        <v>25</v>
      </c>
      <c r="C44" s="77" t="n">
        <v>25</v>
      </c>
      <c r="D44" s="77" t="n">
        <v>25</v>
      </c>
      <c r="E44" s="77" t="n">
        <v>25</v>
      </c>
      <c r="F44" s="77" t="n">
        <v>75</v>
      </c>
      <c r="G44" s="9" t="n">
        <v>75</v>
      </c>
      <c r="H44" s="103">
        <f>MAX(B44:G44)</f>
        <v/>
      </c>
    </row>
    <row r="45" ht="21" customHeight="1">
      <c r="A45" s="6" t="n">
        <v>42</v>
      </c>
      <c r="B45" s="7" t="n">
        <v>75</v>
      </c>
      <c r="C45" s="77" t="n">
        <v>25</v>
      </c>
      <c r="D45" s="77" t="n">
        <v>25</v>
      </c>
      <c r="E45" s="77" t="n">
        <v>25</v>
      </c>
      <c r="F45" s="77" t="n">
        <v>75</v>
      </c>
      <c r="G45" s="9" t="n">
        <v>25</v>
      </c>
      <c r="H45" s="103">
        <f>MAX(B45:G45)</f>
        <v/>
      </c>
    </row>
    <row r="46" ht="21" customHeight="1">
      <c r="A46" s="6" t="n">
        <v>43</v>
      </c>
      <c r="B46" s="7" t="n">
        <v>100</v>
      </c>
      <c r="C46" s="77" t="n">
        <v>75</v>
      </c>
      <c r="D46" s="77" t="n">
        <v>75</v>
      </c>
      <c r="E46" s="77" t="n">
        <v>75</v>
      </c>
      <c r="F46" s="77" t="n">
        <v>100</v>
      </c>
      <c r="G46" s="9" t="n">
        <v>100</v>
      </c>
      <c r="H46" s="103">
        <f>MAX(B46:G46)</f>
        <v/>
      </c>
    </row>
    <row r="47" ht="21" customHeight="1">
      <c r="A47" s="6" t="n">
        <v>44</v>
      </c>
      <c r="B47" s="7" t="n">
        <v>75</v>
      </c>
      <c r="C47" s="77" t="n">
        <v>25</v>
      </c>
      <c r="D47" s="77" t="n">
        <v>75</v>
      </c>
      <c r="E47" s="77" t="n">
        <v>25</v>
      </c>
      <c r="F47" s="77" t="n">
        <v>75</v>
      </c>
      <c r="G47" s="9" t="n">
        <v>25</v>
      </c>
      <c r="H47" s="103">
        <f>MAX(B47:G47)</f>
        <v/>
      </c>
    </row>
    <row r="48" ht="21" customHeight="1">
      <c r="A48" s="6" t="n">
        <v>45</v>
      </c>
      <c r="B48" s="7" t="n">
        <v>75</v>
      </c>
      <c r="C48" s="77" t="n">
        <v>75</v>
      </c>
      <c r="D48" s="77" t="n">
        <v>75</v>
      </c>
      <c r="E48" s="77" t="n">
        <v>75</v>
      </c>
      <c r="F48" s="77" t="n">
        <v>75</v>
      </c>
      <c r="G48" s="9" t="n">
        <v>75</v>
      </c>
      <c r="H48" s="103">
        <f>MAX(B48:G48)</f>
        <v/>
      </c>
    </row>
    <row r="49" ht="21" customHeight="1">
      <c r="A49" s="6" t="n">
        <v>46</v>
      </c>
      <c r="B49" s="7" t="n">
        <v>50</v>
      </c>
      <c r="C49" s="77" t="n">
        <v>50</v>
      </c>
      <c r="D49" s="77" t="n">
        <v>50</v>
      </c>
      <c r="E49" s="77" t="n">
        <v>50</v>
      </c>
      <c r="F49" s="77" t="n">
        <v>50</v>
      </c>
      <c r="G49" s="9" t="n">
        <v>50</v>
      </c>
      <c r="H49" s="103">
        <f>MAX(B49:G49)</f>
        <v/>
      </c>
    </row>
    <row r="50" ht="21" customHeight="1">
      <c r="A50" s="6" t="n">
        <v>47</v>
      </c>
      <c r="B50" s="7" t="n">
        <v>75</v>
      </c>
      <c r="C50" s="77" t="n">
        <v>50</v>
      </c>
      <c r="D50" s="77" t="n">
        <v>50</v>
      </c>
      <c r="E50" s="77" t="n">
        <v>50</v>
      </c>
      <c r="F50" s="77" t="n">
        <v>75</v>
      </c>
      <c r="G50" s="9" t="n">
        <v>75</v>
      </c>
      <c r="H50" s="103">
        <f>MAX(B50:G50)</f>
        <v/>
      </c>
    </row>
    <row r="51" ht="21" customHeight="1">
      <c r="A51" s="6" t="n">
        <v>48</v>
      </c>
      <c r="B51" s="7" t="n">
        <v>50</v>
      </c>
      <c r="C51" s="77" t="n">
        <v>50</v>
      </c>
      <c r="D51" s="77" t="n">
        <v>50</v>
      </c>
      <c r="E51" s="77" t="n">
        <v>50</v>
      </c>
      <c r="F51" s="77" t="n">
        <v>50</v>
      </c>
      <c r="G51" s="9" t="n">
        <v>50</v>
      </c>
      <c r="H51" s="103">
        <f>MAX(B51:G51)</f>
        <v/>
      </c>
    </row>
    <row r="52" ht="21" customHeight="1">
      <c r="A52" s="6" t="n">
        <v>49</v>
      </c>
      <c r="B52" s="7" t="n">
        <v>25</v>
      </c>
      <c r="C52" s="77" t="n">
        <v>25</v>
      </c>
      <c r="D52" s="77" t="n">
        <v>25</v>
      </c>
      <c r="E52" s="77" t="n">
        <v>25</v>
      </c>
      <c r="F52" s="77" t="n">
        <v>25</v>
      </c>
      <c r="G52" s="9" t="n">
        <v>25</v>
      </c>
      <c r="H52" s="103">
        <f>MAX(B52:G52)</f>
        <v/>
      </c>
    </row>
    <row r="53" ht="21" customHeight="1">
      <c r="A53" s="6" t="n">
        <v>50</v>
      </c>
      <c r="B53" s="7" t="n">
        <v>50</v>
      </c>
      <c r="C53" s="77" t="n">
        <v>50</v>
      </c>
      <c r="D53" s="77" t="n">
        <v>50</v>
      </c>
      <c r="E53" s="77" t="n">
        <v>50</v>
      </c>
      <c r="F53" s="77" t="n">
        <v>50</v>
      </c>
      <c r="G53" s="9" t="n">
        <v>50</v>
      </c>
      <c r="H53" s="103">
        <f>MAX(B53:G53)</f>
        <v/>
      </c>
    </row>
    <row r="54" ht="21" customHeight="1">
      <c r="A54" s="6" t="n">
        <v>51</v>
      </c>
      <c r="B54" s="7" t="n">
        <v>75</v>
      </c>
      <c r="C54" s="77" t="n">
        <v>75</v>
      </c>
      <c r="D54" s="77" t="n">
        <v>100</v>
      </c>
      <c r="E54" s="77" t="n">
        <v>75</v>
      </c>
      <c r="F54" s="77" t="n">
        <v>100</v>
      </c>
      <c r="G54" s="9" t="n">
        <v>125</v>
      </c>
      <c r="H54" s="103">
        <f>MAX(B54:G54)</f>
        <v/>
      </c>
    </row>
    <row r="55" ht="21" customHeight="1">
      <c r="A55" s="6" t="n">
        <v>52</v>
      </c>
      <c r="B55" s="7" t="n">
        <v>25</v>
      </c>
      <c r="C55" s="77" t="n">
        <v>25</v>
      </c>
      <c r="D55" s="77" t="n">
        <v>25</v>
      </c>
      <c r="E55" s="77" t="n">
        <v>25</v>
      </c>
      <c r="F55" s="77" t="n">
        <v>25</v>
      </c>
      <c r="G55" s="9" t="n">
        <v>25</v>
      </c>
      <c r="H55" s="103">
        <f>MAX(B55:G55)</f>
        <v/>
      </c>
    </row>
    <row r="56" ht="21" customHeight="1">
      <c r="A56" s="6" t="n">
        <v>53</v>
      </c>
      <c r="B56" s="7" t="n">
        <v>100</v>
      </c>
      <c r="C56" s="77" t="n">
        <v>75</v>
      </c>
      <c r="D56" s="77" t="n">
        <v>75</v>
      </c>
      <c r="E56" s="77" t="n">
        <v>75</v>
      </c>
      <c r="F56" s="77" t="n">
        <v>100</v>
      </c>
      <c r="G56" s="9" t="n">
        <v>100</v>
      </c>
      <c r="H56" s="103">
        <f>MAX(B56:G56)</f>
        <v/>
      </c>
    </row>
    <row r="57" ht="21" customHeight="1">
      <c r="A57" s="6" t="n">
        <v>54</v>
      </c>
      <c r="B57" s="7" t="n">
        <v>25</v>
      </c>
      <c r="C57" s="77" t="n">
        <v>25</v>
      </c>
      <c r="D57" s="77" t="n">
        <v>25</v>
      </c>
      <c r="E57" s="77" t="n">
        <v>50</v>
      </c>
      <c r="F57" s="77" t="n">
        <v>50</v>
      </c>
      <c r="G57" s="9" t="n">
        <v>25</v>
      </c>
      <c r="H57" s="103">
        <f>MAX(B57:G57)</f>
        <v/>
      </c>
    </row>
    <row r="58" ht="21" customHeight="1">
      <c r="A58" s="6" t="n">
        <v>55</v>
      </c>
      <c r="B58" s="7" t="n">
        <v>25</v>
      </c>
      <c r="C58" s="77" t="n">
        <v>25</v>
      </c>
      <c r="D58" s="77" t="n">
        <v>25</v>
      </c>
      <c r="E58" s="77" t="n">
        <v>25</v>
      </c>
      <c r="F58" s="77" t="n">
        <v>25</v>
      </c>
      <c r="G58" s="9" t="n">
        <v>25</v>
      </c>
      <c r="H58" s="103">
        <f>MAX(B58:G58)</f>
        <v/>
      </c>
    </row>
    <row r="59" ht="21" customHeight="1">
      <c r="A59" s="6" t="n">
        <v>56</v>
      </c>
      <c r="B59" s="7" t="n">
        <v>100</v>
      </c>
      <c r="C59" s="77" t="n">
        <v>100</v>
      </c>
      <c r="D59" s="77" t="n">
        <v>100</v>
      </c>
      <c r="E59" s="77" t="n">
        <v>100</v>
      </c>
      <c r="F59" s="77" t="n">
        <v>100</v>
      </c>
      <c r="G59" s="9" t="n">
        <v>100</v>
      </c>
      <c r="H59" s="103">
        <f>MAX(B59:G59)</f>
        <v/>
      </c>
    </row>
    <row r="60" ht="21" customHeight="1">
      <c r="A60" s="6" t="n">
        <v>57</v>
      </c>
      <c r="B60" s="7" t="n">
        <v>75</v>
      </c>
      <c r="C60" s="77" t="n">
        <v>75</v>
      </c>
      <c r="D60" s="77" t="n">
        <v>75</v>
      </c>
      <c r="E60" s="77" t="n">
        <v>75</v>
      </c>
      <c r="F60" s="77" t="n">
        <v>75</v>
      </c>
      <c r="G60" s="9" t="n">
        <v>75</v>
      </c>
      <c r="H60" s="103">
        <f>MAX(B60:G60)</f>
        <v/>
      </c>
    </row>
    <row r="61" ht="21" customHeight="1">
      <c r="A61" s="6" t="n">
        <v>58</v>
      </c>
      <c r="B61" s="7" t="n">
        <v>50</v>
      </c>
      <c r="C61" s="77" t="n">
        <v>50</v>
      </c>
      <c r="D61" s="77" t="n">
        <v>50</v>
      </c>
      <c r="E61" s="77" t="n">
        <v>50</v>
      </c>
      <c r="F61" s="77" t="n">
        <v>50</v>
      </c>
      <c r="G61" s="9" t="n">
        <v>50</v>
      </c>
      <c r="H61" s="103">
        <f>MAX(B61:G61)</f>
        <v/>
      </c>
    </row>
    <row r="62" ht="21" customHeight="1">
      <c r="A62" s="6" t="n">
        <v>59</v>
      </c>
      <c r="B62" s="7" t="n">
        <v>100</v>
      </c>
      <c r="C62" s="77" t="n">
        <v>100</v>
      </c>
      <c r="D62" s="77" t="n">
        <v>100</v>
      </c>
      <c r="E62" s="77" t="n">
        <v>100</v>
      </c>
      <c r="F62" s="77" t="n">
        <v>100</v>
      </c>
      <c r="G62" s="9" t="n">
        <v>100</v>
      </c>
      <c r="H62" s="103">
        <f>MAX(B62:G62)</f>
        <v/>
      </c>
    </row>
    <row r="63" ht="21" customHeight="1">
      <c r="A63" s="6" t="n">
        <v>60</v>
      </c>
      <c r="B63" s="7" t="n">
        <v>75</v>
      </c>
      <c r="C63" s="77" t="n">
        <v>75</v>
      </c>
      <c r="D63" s="77" t="n">
        <v>75</v>
      </c>
      <c r="E63" s="77" t="n">
        <v>75</v>
      </c>
      <c r="F63" s="77" t="n">
        <v>75</v>
      </c>
      <c r="G63" s="9" t="n">
        <v>75</v>
      </c>
      <c r="H63" s="103">
        <f>MAX(B63:G63)</f>
        <v/>
      </c>
    </row>
    <row r="64" ht="21" customHeight="1">
      <c r="A64" s="6" t="n">
        <v>61</v>
      </c>
      <c r="B64" s="7" t="n">
        <v>100</v>
      </c>
      <c r="C64" s="77" t="n">
        <v>75</v>
      </c>
      <c r="D64" s="77" t="n">
        <v>75</v>
      </c>
      <c r="E64" s="77" t="n">
        <v>75</v>
      </c>
      <c r="F64" s="77" t="n">
        <v>100</v>
      </c>
      <c r="G64" s="9" t="n">
        <v>75</v>
      </c>
      <c r="H64" s="103">
        <f>MAX(B64:G64)</f>
        <v/>
      </c>
    </row>
    <row r="65" ht="21" customHeight="1">
      <c r="A65" s="6" t="n">
        <v>62</v>
      </c>
      <c r="B65" s="7" t="n">
        <v>100</v>
      </c>
      <c r="C65" s="77" t="n">
        <v>100</v>
      </c>
      <c r="D65" s="77" t="n">
        <v>100</v>
      </c>
      <c r="E65" s="77" t="n">
        <v>100</v>
      </c>
      <c r="F65" s="77" t="n">
        <v>100</v>
      </c>
      <c r="G65" s="9" t="n">
        <v>100</v>
      </c>
      <c r="H65" s="103">
        <f>MAX(B65:G65)</f>
        <v/>
      </c>
    </row>
    <row r="66" ht="21" customHeight="1">
      <c r="A66" s="6" t="n">
        <v>63</v>
      </c>
      <c r="B66" s="7" t="n">
        <v>50</v>
      </c>
      <c r="C66" s="77" t="n">
        <v>50</v>
      </c>
      <c r="D66" s="77" t="n">
        <v>50</v>
      </c>
      <c r="E66" s="77" t="n">
        <v>50</v>
      </c>
      <c r="F66" s="77" t="n">
        <v>50</v>
      </c>
      <c r="G66" s="9" t="n">
        <v>50</v>
      </c>
      <c r="H66" s="103">
        <f>MAX(B66:G66)</f>
        <v/>
      </c>
    </row>
    <row r="67" ht="21" customHeight="1">
      <c r="A67" s="6" t="n">
        <v>64</v>
      </c>
      <c r="B67" s="7" t="n">
        <v>50</v>
      </c>
      <c r="C67" s="77" t="n">
        <v>50</v>
      </c>
      <c r="D67" s="77" t="n">
        <v>50</v>
      </c>
      <c r="E67" s="77" t="n">
        <v>50</v>
      </c>
      <c r="F67" s="77" t="n">
        <v>50</v>
      </c>
      <c r="G67" s="9" t="n">
        <v>50</v>
      </c>
      <c r="H67" s="103">
        <f>MAX(B67:G67)</f>
        <v/>
      </c>
    </row>
    <row r="68" ht="21" customHeight="1">
      <c r="A68" s="6" t="n">
        <v>65</v>
      </c>
      <c r="B68" s="7" t="n">
        <v>25</v>
      </c>
      <c r="C68" s="77" t="n">
        <v>50</v>
      </c>
      <c r="D68" s="77" t="n">
        <v>50</v>
      </c>
      <c r="E68" s="77" t="n">
        <v>50</v>
      </c>
      <c r="F68" s="77" t="n">
        <v>50</v>
      </c>
      <c r="G68" s="9" t="n">
        <v>25</v>
      </c>
      <c r="H68" s="103">
        <f>MAX(B68:G68)</f>
        <v/>
      </c>
    </row>
    <row r="69" ht="21" customHeight="1">
      <c r="A69" s="6" t="n">
        <v>66</v>
      </c>
      <c r="B69" s="7" t="n">
        <v>75</v>
      </c>
      <c r="C69" s="77" t="n">
        <v>75</v>
      </c>
      <c r="D69" s="77" t="n">
        <v>75</v>
      </c>
      <c r="E69" s="77" t="n">
        <v>75</v>
      </c>
      <c r="F69" s="77" t="n">
        <v>75</v>
      </c>
      <c r="G69" s="9" t="n">
        <v>75</v>
      </c>
      <c r="H69" s="103">
        <f>MAX(B69:G69)</f>
        <v/>
      </c>
    </row>
    <row r="70" ht="21" customHeight="1">
      <c r="A70" s="6" t="n">
        <v>67</v>
      </c>
      <c r="B70" s="7" t="n">
        <v>75</v>
      </c>
      <c r="C70" s="77" t="n">
        <v>50</v>
      </c>
      <c r="D70" s="77" t="n">
        <v>50</v>
      </c>
      <c r="E70" s="77" t="n">
        <v>50</v>
      </c>
      <c r="F70" s="77" t="n">
        <v>75</v>
      </c>
      <c r="G70" s="9" t="n">
        <v>75</v>
      </c>
      <c r="H70" s="103">
        <f>MAX(B70:G70)</f>
        <v/>
      </c>
    </row>
    <row r="71" ht="21" customHeight="1">
      <c r="A71" s="6" t="n">
        <v>68</v>
      </c>
      <c r="B71" s="7" t="n">
        <v>75</v>
      </c>
      <c r="C71" s="77" t="n">
        <v>25</v>
      </c>
      <c r="D71" s="77" t="n">
        <v>25</v>
      </c>
      <c r="E71" s="77" t="n">
        <v>25</v>
      </c>
      <c r="F71" s="77" t="n">
        <v>25</v>
      </c>
      <c r="G71" s="9" t="n">
        <v>75</v>
      </c>
      <c r="H71" s="103">
        <f>MAX(B71:G71)</f>
        <v/>
      </c>
    </row>
    <row r="72" ht="21" customHeight="1">
      <c r="A72" s="6" t="n">
        <v>69</v>
      </c>
      <c r="B72" s="7" t="n">
        <v>50</v>
      </c>
      <c r="C72" s="77" t="n">
        <v>50</v>
      </c>
      <c r="D72" s="77" t="n">
        <v>50</v>
      </c>
      <c r="E72" s="77" t="n">
        <v>50</v>
      </c>
      <c r="F72" s="77" t="n">
        <v>50</v>
      </c>
      <c r="G72" s="9" t="n">
        <v>50</v>
      </c>
      <c r="H72" s="103">
        <f>MAX(B72:G72)</f>
        <v/>
      </c>
    </row>
    <row r="73" ht="21" customHeight="1">
      <c r="A73" s="6" t="n">
        <v>70</v>
      </c>
      <c r="B73" s="7" t="n">
        <v>75</v>
      </c>
      <c r="C73" s="77" t="n">
        <v>25</v>
      </c>
      <c r="D73" s="77" t="n">
        <v>25</v>
      </c>
      <c r="E73" s="77" t="n">
        <v>25</v>
      </c>
      <c r="F73" s="77" t="n">
        <v>75</v>
      </c>
      <c r="G73" s="9" t="n">
        <v>25</v>
      </c>
      <c r="H73" s="103">
        <f>MAX(B73:G73)</f>
        <v/>
      </c>
    </row>
    <row r="74" ht="21" customHeight="1">
      <c r="A74" s="6" t="n">
        <v>71</v>
      </c>
      <c r="B74" s="7" t="n">
        <v>75</v>
      </c>
      <c r="C74" s="77" t="n">
        <v>50</v>
      </c>
      <c r="D74" s="77" t="n">
        <v>75</v>
      </c>
      <c r="E74" s="77" t="n">
        <v>50</v>
      </c>
      <c r="F74" s="77" t="n">
        <v>75</v>
      </c>
      <c r="G74" s="9" t="n">
        <v>25</v>
      </c>
      <c r="H74" s="103">
        <f>MAX(B74:G74)</f>
        <v/>
      </c>
    </row>
    <row r="75" ht="21" customHeight="1">
      <c r="A75" s="6" t="n">
        <v>72</v>
      </c>
      <c r="B75" s="7" t="n">
        <v>50</v>
      </c>
      <c r="C75" s="77" t="n">
        <v>50</v>
      </c>
      <c r="D75" s="77" t="n">
        <v>50</v>
      </c>
      <c r="E75" s="77" t="n">
        <v>50</v>
      </c>
      <c r="F75" s="77" t="n">
        <v>75</v>
      </c>
      <c r="G75" s="9" t="n">
        <v>50</v>
      </c>
      <c r="H75" s="103">
        <f>MAX(B75:G75)</f>
        <v/>
      </c>
    </row>
    <row r="76" ht="21" customHeight="1">
      <c r="A76" s="6" t="n">
        <v>73</v>
      </c>
      <c r="B76" s="7" t="n">
        <v>50</v>
      </c>
      <c r="C76" s="77" t="n">
        <v>25</v>
      </c>
      <c r="D76" s="77" t="n">
        <v>50</v>
      </c>
      <c r="E76" s="77" t="n">
        <v>50</v>
      </c>
      <c r="F76" s="77" t="n">
        <v>50</v>
      </c>
      <c r="G76" s="9" t="n">
        <v>25</v>
      </c>
      <c r="H76" s="103">
        <f>MAX(B76:G76)</f>
        <v/>
      </c>
    </row>
    <row r="77" ht="21" customHeight="1">
      <c r="A77" s="6" t="n">
        <v>74</v>
      </c>
      <c r="B77" s="7" t="n">
        <v>25</v>
      </c>
      <c r="C77" s="77" t="n">
        <v>25</v>
      </c>
      <c r="D77" s="77" t="n">
        <v>25</v>
      </c>
      <c r="E77" s="77" t="n">
        <v>25</v>
      </c>
      <c r="F77" s="77" t="n">
        <v>25</v>
      </c>
      <c r="G77" s="9" t="n">
        <v>25</v>
      </c>
      <c r="H77" s="103">
        <f>MAX(B77:G77)</f>
        <v/>
      </c>
    </row>
    <row r="78" ht="21" customHeight="1">
      <c r="A78" s="6" t="n">
        <v>75</v>
      </c>
      <c r="B78" s="7" t="n">
        <v>75</v>
      </c>
      <c r="C78" s="77" t="n">
        <v>50</v>
      </c>
      <c r="D78" s="77" t="n">
        <v>100</v>
      </c>
      <c r="E78" s="77" t="n">
        <v>50</v>
      </c>
      <c r="F78" s="77" t="n">
        <v>100</v>
      </c>
      <c r="G78" s="9" t="n">
        <v>50</v>
      </c>
      <c r="H78" s="103">
        <f>MAX(B78:G78)</f>
        <v/>
      </c>
    </row>
    <row r="79" ht="21" customHeight="1">
      <c r="A79" s="6" t="n">
        <v>76</v>
      </c>
      <c r="B79" s="7" t="n">
        <v>100</v>
      </c>
      <c r="C79" s="77" t="n">
        <v>75</v>
      </c>
      <c r="D79" s="77" t="n">
        <v>75</v>
      </c>
      <c r="E79" s="77" t="n">
        <v>75</v>
      </c>
      <c r="F79" s="77" t="n">
        <v>125</v>
      </c>
      <c r="G79" s="9" t="n">
        <v>50</v>
      </c>
      <c r="H79" s="103">
        <f>MAX(B79:G79)</f>
        <v/>
      </c>
    </row>
    <row r="80" ht="21" customHeight="1">
      <c r="A80" s="6" t="n">
        <v>77</v>
      </c>
      <c r="B80" s="7" t="n">
        <v>50</v>
      </c>
      <c r="C80" s="77" t="n">
        <v>25</v>
      </c>
      <c r="D80" s="77" t="n">
        <v>25</v>
      </c>
      <c r="E80" s="77" t="n">
        <v>25</v>
      </c>
      <c r="F80" s="77" t="n">
        <v>50</v>
      </c>
      <c r="G80" s="9" t="n">
        <v>25</v>
      </c>
      <c r="H80" s="103">
        <f>MAX(B80:G80)</f>
        <v/>
      </c>
    </row>
    <row r="81" ht="21" customHeight="1">
      <c r="A81" s="6" t="n">
        <v>78</v>
      </c>
      <c r="B81" s="7" t="n">
        <v>25</v>
      </c>
      <c r="C81" s="77" t="n">
        <v>25</v>
      </c>
      <c r="D81" s="77" t="n">
        <v>25</v>
      </c>
      <c r="E81" s="77" t="n">
        <v>25</v>
      </c>
      <c r="F81" s="77" t="n">
        <v>50</v>
      </c>
      <c r="G81" s="9" t="n">
        <v>25</v>
      </c>
      <c r="H81" s="103">
        <f>MAX(B81:G81)</f>
        <v/>
      </c>
    </row>
    <row r="82" ht="21" customHeight="1">
      <c r="A82" s="6" t="n">
        <v>79</v>
      </c>
      <c r="B82" s="7" t="n">
        <v>125</v>
      </c>
      <c r="C82" s="77" t="n">
        <v>125</v>
      </c>
      <c r="D82" s="77" t="n">
        <v>125</v>
      </c>
      <c r="E82" s="77" t="n">
        <v>125</v>
      </c>
      <c r="F82" s="77" t="n">
        <v>125</v>
      </c>
      <c r="G82" s="9" t="n">
        <v>125</v>
      </c>
      <c r="H82" s="103">
        <f>MAX(B82:G82)</f>
        <v/>
      </c>
    </row>
    <row r="83" ht="21" customHeight="1">
      <c r="A83" s="6" t="n">
        <v>80</v>
      </c>
      <c r="B83" s="7" t="n">
        <v>75</v>
      </c>
      <c r="C83" s="77" t="n">
        <v>75</v>
      </c>
      <c r="D83" s="77" t="n">
        <v>75</v>
      </c>
      <c r="E83" s="77" t="n">
        <v>75</v>
      </c>
      <c r="F83" s="77" t="n">
        <v>75</v>
      </c>
      <c r="G83" s="9" t="n">
        <v>75</v>
      </c>
      <c r="H83" s="103">
        <f>MAX(B83:G83)</f>
        <v/>
      </c>
    </row>
    <row r="84" ht="21" customHeight="1">
      <c r="A84" s="6" t="n">
        <v>81</v>
      </c>
      <c r="B84" s="7" t="n">
        <v>100</v>
      </c>
      <c r="C84" s="77" t="n">
        <v>100</v>
      </c>
      <c r="D84" s="77" t="n">
        <v>100</v>
      </c>
      <c r="E84" s="77" t="n">
        <v>100</v>
      </c>
      <c r="F84" s="77" t="n">
        <v>125</v>
      </c>
      <c r="G84" s="9" t="n">
        <v>100</v>
      </c>
      <c r="H84" s="103">
        <f>MAX(B84:G84)</f>
        <v/>
      </c>
    </row>
    <row r="85" ht="21" customHeight="1">
      <c r="A85" s="6" t="n">
        <v>82</v>
      </c>
      <c r="B85" s="7" t="n">
        <v>75</v>
      </c>
      <c r="C85" s="77" t="n">
        <v>50</v>
      </c>
      <c r="D85" s="77" t="n">
        <v>75</v>
      </c>
      <c r="E85" s="77" t="n">
        <v>50</v>
      </c>
      <c r="F85" s="77" t="n">
        <v>75</v>
      </c>
      <c r="G85" s="9" t="n">
        <v>75</v>
      </c>
      <c r="H85" s="103">
        <f>MAX(B85:G85)</f>
        <v/>
      </c>
    </row>
    <row r="86" ht="21" customHeight="1">
      <c r="A86" s="6" t="n">
        <v>83</v>
      </c>
      <c r="B86" s="7" t="n">
        <v>25</v>
      </c>
      <c r="C86" s="77" t="n">
        <v>25</v>
      </c>
      <c r="D86" s="77" t="n">
        <v>25</v>
      </c>
      <c r="E86" s="77" t="n">
        <v>25</v>
      </c>
      <c r="F86" s="77" t="n">
        <v>25</v>
      </c>
      <c r="G86" s="9" t="n">
        <v>25</v>
      </c>
      <c r="H86" s="103">
        <f>MAX(B86:G86)</f>
        <v/>
      </c>
    </row>
    <row r="87" ht="21" customHeight="1">
      <c r="A87" s="6" t="n">
        <v>84</v>
      </c>
      <c r="B87" s="7" t="n">
        <v>25</v>
      </c>
      <c r="C87" s="77" t="n">
        <v>25</v>
      </c>
      <c r="D87" s="77" t="n">
        <v>25</v>
      </c>
      <c r="E87" s="77" t="n">
        <v>25</v>
      </c>
      <c r="F87" s="77" t="n">
        <v>25</v>
      </c>
      <c r="G87" s="9" t="n">
        <v>25</v>
      </c>
      <c r="H87" s="103">
        <f>MAX(B87:G87)</f>
        <v/>
      </c>
    </row>
    <row r="88" ht="21" customHeight="1">
      <c r="A88" s="6" t="n">
        <v>85</v>
      </c>
      <c r="B88" s="7" t="n">
        <v>75</v>
      </c>
      <c r="C88" s="77" t="n">
        <v>50</v>
      </c>
      <c r="D88" s="77" t="n">
        <v>50</v>
      </c>
      <c r="E88" s="77" t="n">
        <v>50</v>
      </c>
      <c r="F88" s="77" t="n">
        <v>75</v>
      </c>
      <c r="G88" s="9" t="n">
        <v>25</v>
      </c>
      <c r="H88" s="103">
        <f>MAX(B88:G88)</f>
        <v/>
      </c>
    </row>
    <row r="89" ht="21" customHeight="1">
      <c r="A89" s="6" t="n">
        <v>86</v>
      </c>
      <c r="B89" s="7" t="n">
        <v>25</v>
      </c>
      <c r="C89" s="77" t="n">
        <v>25</v>
      </c>
      <c r="D89" s="77" t="n">
        <v>25</v>
      </c>
      <c r="E89" s="77" t="n">
        <v>25</v>
      </c>
      <c r="F89" s="77" t="n">
        <v>75</v>
      </c>
      <c r="G89" s="9" t="n">
        <v>25</v>
      </c>
      <c r="H89" s="103">
        <f>MAX(B89:G89)</f>
        <v/>
      </c>
    </row>
    <row r="90" ht="21" customHeight="1">
      <c r="A90" s="6" t="n">
        <v>87</v>
      </c>
      <c r="B90" s="7" t="n">
        <v>75</v>
      </c>
      <c r="C90" s="77" t="n">
        <v>50</v>
      </c>
      <c r="D90" s="77" t="n">
        <v>50</v>
      </c>
      <c r="E90" s="77" t="n">
        <v>50</v>
      </c>
      <c r="F90" s="77" t="n">
        <v>75</v>
      </c>
      <c r="G90" s="9" t="n">
        <v>50</v>
      </c>
      <c r="H90" s="103">
        <f>MAX(B90:G90)</f>
        <v/>
      </c>
    </row>
    <row r="91" ht="21" customHeight="1">
      <c r="A91" s="6" t="n">
        <v>88</v>
      </c>
      <c r="B91" s="7" t="n">
        <v>75</v>
      </c>
      <c r="C91" s="77" t="n">
        <v>75</v>
      </c>
      <c r="D91" s="77" t="n">
        <v>100</v>
      </c>
      <c r="E91" s="77" t="n">
        <v>75</v>
      </c>
      <c r="F91" s="77" t="n">
        <v>75</v>
      </c>
      <c r="G91" s="9" t="n">
        <v>25</v>
      </c>
      <c r="H91" s="103">
        <f>MAX(B91:G91)</f>
        <v/>
      </c>
    </row>
    <row r="92" ht="21" customHeight="1">
      <c r="A92" s="6" t="n">
        <v>89</v>
      </c>
      <c r="B92" s="7" t="n">
        <v>25</v>
      </c>
      <c r="C92" s="77" t="n">
        <v>25</v>
      </c>
      <c r="D92" s="77" t="n">
        <v>25</v>
      </c>
      <c r="E92" s="77" t="n">
        <v>25</v>
      </c>
      <c r="F92" s="77" t="n">
        <v>25</v>
      </c>
      <c r="G92" s="9" t="n">
        <v>25</v>
      </c>
      <c r="H92" s="103">
        <f>MAX(B92:G92)</f>
        <v/>
      </c>
    </row>
    <row r="93" ht="21" customHeight="1">
      <c r="A93" s="6" t="n">
        <v>90</v>
      </c>
      <c r="B93" s="7" t="n">
        <v>75</v>
      </c>
      <c r="C93" s="77" t="n">
        <v>75</v>
      </c>
      <c r="D93" s="77" t="n">
        <v>75</v>
      </c>
      <c r="E93" s="77" t="n">
        <v>75</v>
      </c>
      <c r="F93" s="77" t="n">
        <v>75</v>
      </c>
      <c r="G93" s="9" t="n">
        <v>75</v>
      </c>
      <c r="H93" s="103">
        <f>MAX(B93:G93)</f>
        <v/>
      </c>
    </row>
    <row r="94" ht="21" customHeight="1">
      <c r="A94" s="6" t="n">
        <v>91</v>
      </c>
      <c r="B94" s="7" t="n">
        <v>50</v>
      </c>
      <c r="C94" s="77" t="n">
        <v>50</v>
      </c>
      <c r="D94" s="77" t="n">
        <v>50</v>
      </c>
      <c r="E94" s="77" t="n">
        <v>50</v>
      </c>
      <c r="F94" s="77" t="n">
        <v>50</v>
      </c>
      <c r="G94" s="9" t="n">
        <v>50</v>
      </c>
      <c r="H94" s="103">
        <f>MAX(B94:G94)</f>
        <v/>
      </c>
    </row>
    <row r="95" ht="21" customHeight="1">
      <c r="A95" s="6" t="n">
        <v>92</v>
      </c>
      <c r="B95" s="7" t="n">
        <v>100</v>
      </c>
      <c r="C95" s="77" t="n">
        <v>100</v>
      </c>
      <c r="D95" s="77" t="n">
        <v>100</v>
      </c>
      <c r="E95" s="77" t="n">
        <v>100</v>
      </c>
      <c r="F95" s="77" t="n">
        <v>100</v>
      </c>
      <c r="G95" s="9" t="n">
        <v>100</v>
      </c>
      <c r="H95" s="103">
        <f>MAX(B95:G95)</f>
        <v/>
      </c>
    </row>
    <row r="96" ht="21" customHeight="1">
      <c r="A96" s="6" t="n">
        <v>93</v>
      </c>
      <c r="B96" s="7" t="n">
        <v>100</v>
      </c>
      <c r="C96" s="77" t="n">
        <v>100</v>
      </c>
      <c r="D96" s="77" t="n">
        <v>100</v>
      </c>
      <c r="E96" s="77" t="n">
        <v>100</v>
      </c>
      <c r="F96" s="77" t="n">
        <v>100</v>
      </c>
      <c r="G96" s="9" t="n">
        <v>100</v>
      </c>
      <c r="H96" s="103">
        <f>MAX(B96:G96)</f>
        <v/>
      </c>
    </row>
    <row r="97" ht="21" customHeight="1">
      <c r="A97" s="6" t="n">
        <v>94</v>
      </c>
      <c r="B97" s="7" t="n">
        <v>100</v>
      </c>
      <c r="C97" s="77" t="n">
        <v>50</v>
      </c>
      <c r="D97" s="77" t="n">
        <v>25</v>
      </c>
      <c r="E97" s="77" t="n">
        <v>25</v>
      </c>
      <c r="F97" s="77" t="n">
        <v>25</v>
      </c>
      <c r="G97" s="9" t="n">
        <v>25</v>
      </c>
      <c r="H97" s="103">
        <f>MAX(B97:G97)</f>
        <v/>
      </c>
    </row>
    <row r="98" ht="21" customHeight="1">
      <c r="A98" s="6" t="n">
        <v>95</v>
      </c>
      <c r="B98" s="7" t="n">
        <v>100</v>
      </c>
      <c r="C98" s="77" t="n">
        <v>100</v>
      </c>
      <c r="D98" s="77" t="n">
        <v>100</v>
      </c>
      <c r="E98" s="77" t="n">
        <v>100</v>
      </c>
      <c r="F98" s="77" t="n">
        <v>100</v>
      </c>
      <c r="G98" s="9" t="n">
        <v>100</v>
      </c>
      <c r="H98" s="103">
        <f>MAX(B98:G98)</f>
        <v/>
      </c>
    </row>
    <row r="99" ht="21" customHeight="1">
      <c r="A99" s="6" t="n">
        <v>96</v>
      </c>
      <c r="B99" s="7" t="n">
        <v>75</v>
      </c>
      <c r="C99" s="77" t="n">
        <v>75</v>
      </c>
      <c r="D99" s="77" t="n">
        <v>75</v>
      </c>
      <c r="E99" s="77" t="n">
        <v>75</v>
      </c>
      <c r="F99" s="77" t="n">
        <v>75</v>
      </c>
      <c r="G99" s="9" t="n">
        <v>75</v>
      </c>
      <c r="H99" s="103">
        <f>MAX(B99:G99)</f>
        <v/>
      </c>
    </row>
    <row r="100" ht="21" customHeight="1">
      <c r="A100" s="6" t="n">
        <v>97</v>
      </c>
      <c r="B100" s="7" t="n">
        <v>25</v>
      </c>
      <c r="C100" s="77" t="n">
        <v>25</v>
      </c>
      <c r="D100" s="77" t="n">
        <v>25</v>
      </c>
      <c r="E100" s="77" t="n">
        <v>25</v>
      </c>
      <c r="F100" s="77" t="n">
        <v>25</v>
      </c>
      <c r="G100" s="9" t="n">
        <v>100</v>
      </c>
      <c r="H100" s="103">
        <f>MAX(B100:G100)</f>
        <v/>
      </c>
    </row>
    <row r="101" ht="21" customHeight="1">
      <c r="A101" s="6" t="n">
        <v>98</v>
      </c>
      <c r="B101" s="7" t="n">
        <v>50</v>
      </c>
      <c r="C101" s="77" t="n">
        <v>25</v>
      </c>
      <c r="D101" s="77" t="n">
        <v>25</v>
      </c>
      <c r="E101" s="77" t="n">
        <v>25</v>
      </c>
      <c r="F101" s="77" t="n">
        <v>75</v>
      </c>
      <c r="G101" s="9" t="n">
        <v>75</v>
      </c>
      <c r="H101" s="103">
        <f>MAX(B101:G101)</f>
        <v/>
      </c>
    </row>
    <row r="102" ht="21" customHeight="1">
      <c r="A102" s="6" t="n">
        <v>99</v>
      </c>
      <c r="B102" s="7" t="n">
        <v>75</v>
      </c>
      <c r="C102" s="77" t="n">
        <v>75</v>
      </c>
      <c r="D102" s="77" t="n">
        <v>75</v>
      </c>
      <c r="E102" s="77" t="n">
        <v>75</v>
      </c>
      <c r="F102" s="77" t="n">
        <v>75</v>
      </c>
      <c r="G102" s="9" t="n">
        <v>75</v>
      </c>
      <c r="H102" s="103">
        <f>MAX(B102:G102)</f>
        <v/>
      </c>
    </row>
    <row r="103" ht="21" customHeight="1">
      <c r="A103" s="6" t="n">
        <v>100</v>
      </c>
      <c r="B103" s="7" t="n">
        <v>100</v>
      </c>
      <c r="C103" s="77" t="n">
        <v>100</v>
      </c>
      <c r="D103" s="77" t="n">
        <v>100</v>
      </c>
      <c r="E103" s="77" t="n">
        <v>100</v>
      </c>
      <c r="F103" s="77" t="n">
        <v>100</v>
      </c>
      <c r="G103" s="9" t="n">
        <v>100</v>
      </c>
      <c r="H103" s="103">
        <f>MAX(B103:G103)</f>
        <v/>
      </c>
    </row>
    <row r="104" ht="21" customHeight="1">
      <c r="A104" s="6" t="n">
        <v>101</v>
      </c>
      <c r="B104" s="7" t="n">
        <v>75</v>
      </c>
      <c r="C104" s="77" t="n">
        <v>75</v>
      </c>
      <c r="D104" s="77" t="n">
        <v>75</v>
      </c>
      <c r="E104" s="77" t="n">
        <v>75</v>
      </c>
      <c r="F104" s="77" t="n">
        <v>75</v>
      </c>
      <c r="G104" s="9" t="n">
        <v>50</v>
      </c>
      <c r="H104" s="103">
        <f>MAX(B104:G104)</f>
        <v/>
      </c>
    </row>
    <row r="105" ht="21" customHeight="1">
      <c r="A105" s="6" t="n">
        <v>102</v>
      </c>
      <c r="B105" s="7" t="n">
        <v>125</v>
      </c>
      <c r="C105" s="77" t="n">
        <v>125</v>
      </c>
      <c r="D105" s="77" t="n">
        <v>125</v>
      </c>
      <c r="E105" s="77" t="n">
        <v>125</v>
      </c>
      <c r="F105" s="77" t="n">
        <v>125</v>
      </c>
      <c r="G105" s="9" t="n">
        <v>125</v>
      </c>
      <c r="H105" s="103">
        <f>MAX(B105:G105)</f>
        <v/>
      </c>
    </row>
    <row r="106" ht="21" customHeight="1">
      <c r="A106" s="6" t="n">
        <v>103</v>
      </c>
      <c r="B106" s="7" t="n">
        <v>75</v>
      </c>
      <c r="C106" s="77" t="n">
        <v>25</v>
      </c>
      <c r="D106" s="77" t="n">
        <v>25</v>
      </c>
      <c r="E106" s="77" t="n">
        <v>25</v>
      </c>
      <c r="F106" s="77" t="n">
        <v>75</v>
      </c>
      <c r="G106" s="9" t="n">
        <v>75</v>
      </c>
      <c r="H106" s="103">
        <f>MAX(B106:G106)</f>
        <v/>
      </c>
    </row>
    <row r="107" ht="21" customHeight="1">
      <c r="A107" s="6" t="n">
        <v>104</v>
      </c>
      <c r="B107" s="7" t="n">
        <v>75</v>
      </c>
      <c r="C107" s="77" t="n">
        <v>75</v>
      </c>
      <c r="D107" s="77" t="n">
        <v>75</v>
      </c>
      <c r="E107" s="77" t="n">
        <v>75</v>
      </c>
      <c r="F107" s="77" t="n">
        <v>75</v>
      </c>
      <c r="G107" s="9" t="n">
        <v>75</v>
      </c>
      <c r="H107" s="103">
        <f>MAX(B107:G107)</f>
        <v/>
      </c>
    </row>
    <row r="108" ht="21" customHeight="1">
      <c r="A108" s="6" t="n">
        <v>105</v>
      </c>
      <c r="B108" s="7" t="n">
        <v>50</v>
      </c>
      <c r="C108" s="77" t="n">
        <v>50</v>
      </c>
      <c r="D108" s="77" t="n">
        <v>50</v>
      </c>
      <c r="E108" s="77" t="n">
        <v>50</v>
      </c>
      <c r="F108" s="77" t="n">
        <v>50</v>
      </c>
      <c r="G108" s="9" t="n">
        <v>50</v>
      </c>
      <c r="H108" s="103">
        <f>MAX(B108:G108)</f>
        <v/>
      </c>
    </row>
    <row r="109" ht="21" customHeight="1">
      <c r="A109" s="6" t="n">
        <v>106</v>
      </c>
      <c r="B109" s="7" t="n">
        <v>75</v>
      </c>
      <c r="C109" s="77" t="n">
        <v>75</v>
      </c>
      <c r="D109" s="77" t="n">
        <v>75</v>
      </c>
      <c r="E109" s="77" t="n">
        <v>75</v>
      </c>
      <c r="F109" s="77" t="n">
        <v>75</v>
      </c>
      <c r="G109" s="9" t="n">
        <v>75</v>
      </c>
      <c r="H109" s="103">
        <f>MAX(B109:G109)</f>
        <v/>
      </c>
    </row>
    <row r="110" ht="21" customHeight="1">
      <c r="A110" s="6" t="n">
        <v>107</v>
      </c>
      <c r="B110" s="7" t="n">
        <v>125</v>
      </c>
      <c r="C110" s="77" t="n">
        <v>100</v>
      </c>
      <c r="D110" s="77" t="n">
        <v>100</v>
      </c>
      <c r="E110" s="77" t="n">
        <v>100</v>
      </c>
      <c r="F110" s="77" t="n">
        <v>125</v>
      </c>
      <c r="G110" s="9" t="n">
        <v>100</v>
      </c>
      <c r="H110" s="103">
        <f>MAX(B110:G110)</f>
        <v/>
      </c>
    </row>
    <row r="111" ht="21" customHeight="1">
      <c r="A111" s="6" t="n">
        <v>108</v>
      </c>
      <c r="B111" s="7" t="n">
        <v>75</v>
      </c>
      <c r="C111" s="77" t="n">
        <v>75</v>
      </c>
      <c r="D111" s="77" t="n">
        <v>75</v>
      </c>
      <c r="E111" s="77" t="n">
        <v>75</v>
      </c>
      <c r="F111" s="77" t="n">
        <v>75</v>
      </c>
      <c r="G111" s="9" t="n">
        <v>75</v>
      </c>
      <c r="H111" s="103">
        <f>MAX(B111:G111)</f>
        <v/>
      </c>
    </row>
    <row r="112" ht="21" customHeight="1">
      <c r="A112" s="6" t="n">
        <v>109</v>
      </c>
      <c r="B112" s="7" t="n">
        <v>50</v>
      </c>
      <c r="C112" s="77" t="n">
        <v>50</v>
      </c>
      <c r="D112" s="77" t="n">
        <v>75</v>
      </c>
      <c r="E112" s="77" t="n">
        <v>50</v>
      </c>
      <c r="F112" s="77" t="n">
        <v>50</v>
      </c>
      <c r="G112" s="9" t="n">
        <v>50</v>
      </c>
      <c r="H112" s="103">
        <f>MAX(B112:G112)</f>
        <v/>
      </c>
    </row>
    <row r="113" ht="21" customHeight="1">
      <c r="A113" s="6" t="n">
        <v>110</v>
      </c>
      <c r="B113" s="7" t="n">
        <v>50</v>
      </c>
      <c r="C113" s="77" t="n">
        <v>75</v>
      </c>
      <c r="D113" s="77" t="n">
        <v>75</v>
      </c>
      <c r="E113" s="77" t="n">
        <v>75</v>
      </c>
      <c r="F113" s="77" t="n">
        <v>100</v>
      </c>
      <c r="G113" s="9" t="n">
        <v>75</v>
      </c>
      <c r="H113" s="103">
        <f>MAX(B113:G113)</f>
        <v/>
      </c>
    </row>
    <row r="114" ht="21" customHeight="1">
      <c r="A114" s="6" t="n">
        <v>111</v>
      </c>
      <c r="B114" s="7" t="n">
        <v>50</v>
      </c>
      <c r="C114" s="77" t="n">
        <v>25</v>
      </c>
      <c r="D114" s="77" t="n">
        <v>25</v>
      </c>
      <c r="E114" s="77" t="n">
        <v>25</v>
      </c>
      <c r="F114" s="77" t="n">
        <v>25</v>
      </c>
      <c r="G114" s="9" t="n">
        <v>25</v>
      </c>
      <c r="H114" s="103">
        <f>MAX(B114:G114)</f>
        <v/>
      </c>
    </row>
    <row r="115" ht="21" customHeight="1">
      <c r="A115" s="6" t="n">
        <v>112</v>
      </c>
      <c r="B115" s="7" t="n">
        <v>25</v>
      </c>
      <c r="C115" s="77" t="n">
        <v>25</v>
      </c>
      <c r="D115" s="77" t="n">
        <v>25</v>
      </c>
      <c r="E115" s="77" t="n">
        <v>25</v>
      </c>
      <c r="F115" s="77" t="n">
        <v>25</v>
      </c>
      <c r="G115" s="9" t="n">
        <v>25</v>
      </c>
      <c r="H115" s="103">
        <f>MAX(B115:G115)</f>
        <v/>
      </c>
    </row>
    <row r="116" ht="21" customHeight="1">
      <c r="A116" s="33" t="n">
        <v>113</v>
      </c>
      <c r="B116" s="34" t="n">
        <v>100</v>
      </c>
      <c r="C116" s="35" t="n">
        <v>100</v>
      </c>
      <c r="D116" s="35" t="n">
        <v>75</v>
      </c>
      <c r="E116" s="35" t="n">
        <v>75</v>
      </c>
      <c r="F116" s="35" t="n">
        <v>25</v>
      </c>
      <c r="G116" s="36" t="n">
        <v>25</v>
      </c>
      <c r="H116" s="191">
        <f>MAX(B116:G116)</f>
        <v/>
      </c>
    </row>
    <row r="123" ht="21" customHeight="1">
      <c r="B123" s="197" t="n"/>
      <c r="C123" s="197" t="n"/>
      <c r="D123" s="197" t="n"/>
      <c r="E123" s="197" t="n"/>
      <c r="F123" s="197" t="n"/>
      <c r="G123" s="197" t="n"/>
    </row>
    <row r="124" ht="21" customHeight="1">
      <c r="B124" s="197" t="n"/>
      <c r="C124" s="197" t="n"/>
      <c r="D124" s="197" t="n"/>
      <c r="E124" s="197" t="n"/>
      <c r="F124" s="197" t="n"/>
      <c r="G124" s="197" t="n"/>
    </row>
  </sheetData>
  <mergeCells count="1">
    <mergeCell ref="B2:G2"/>
  </mergeCells>
  <pageMargins left="0.75" right="0.75" top="1" bottom="1" header="0.5" footer="0.5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D6" sqref="D6:J10"/>
    </sheetView>
  </sheetViews>
  <sheetFormatPr baseColWidth="10" defaultColWidth="11.83203125" defaultRowHeight="20.25" customHeight="1"/>
  <cols>
    <col width="3.33203125" customWidth="1" style="23" min="1" max="1"/>
    <col width="21.6640625" customWidth="1" style="23" min="2" max="2"/>
    <col width="24.5" customWidth="1" style="23" min="3" max="3"/>
    <col width="28.33203125" customWidth="1" style="23" min="4" max="4"/>
    <col width="24" customWidth="1" style="23" min="5" max="5"/>
    <col width="26.5" bestFit="1" customWidth="1" style="23" min="6" max="6"/>
    <col width="27.83203125" customWidth="1" style="23" min="7" max="7"/>
    <col width="17.5" customWidth="1" style="23" min="8" max="8"/>
    <col width="16.83203125" customWidth="1" style="23" min="9" max="9"/>
    <col width="11.83203125" customWidth="1" style="23" min="10" max="16384"/>
  </cols>
  <sheetData>
    <row r="2" ht="20.25" customHeight="1">
      <c r="B2" s="32" t="inlineStr">
        <is>
          <t>Total Customers in Sample (surveyed)</t>
        </is>
      </c>
      <c r="C2" s="32" t="n"/>
      <c r="D2" s="24">
        <f>'Q1 WTP data'!A116</f>
        <v/>
      </c>
    </row>
    <row r="3" ht="20.25" customHeight="1">
      <c r="B3" s="32" t="inlineStr">
        <is>
          <t>Total Population</t>
        </is>
      </c>
      <c r="C3" s="32" t="n"/>
      <c r="D3" s="64" t="n">
        <v>10000</v>
      </c>
    </row>
    <row r="4" ht="19.5" customHeight="1" thickBot="1">
      <c r="B4" s="62" t="n"/>
      <c r="F4" s="62" t="n"/>
      <c r="G4" s="62" t="n"/>
      <c r="H4" s="62" t="n"/>
      <c r="I4" s="62" t="n"/>
      <c r="J4" s="62" t="n"/>
    </row>
    <row r="5" ht="37.5" customHeight="1" thickBot="1">
      <c r="B5" s="63" t="inlineStr">
        <is>
          <t>Price for NonPeak Hours</t>
        </is>
      </c>
      <c r="C5" s="59" t="inlineStr">
        <is>
          <t>Price of Peak Hours (5-9pm)</t>
        </is>
      </c>
      <c r="D5" s="59" t="inlineStr">
        <is>
          <t>NonPeak Hour Demand In Sample</t>
        </is>
      </c>
      <c r="E5" s="60" t="inlineStr">
        <is>
          <t>Peak Hour Demand In Sample</t>
        </is>
      </c>
      <c r="F5" s="65" t="inlineStr">
        <is>
          <t>NonPeak Hour Total Demand</t>
        </is>
      </c>
      <c r="G5" s="61" t="inlineStr">
        <is>
          <t>Peak Hour Total Demand</t>
        </is>
      </c>
      <c r="H5" s="61" t="inlineStr">
        <is>
          <t>NonPeak Hour Revenue</t>
        </is>
      </c>
      <c r="I5" s="61" t="inlineStr">
        <is>
          <t>Peak Hour Revenue</t>
        </is>
      </c>
      <c r="J5" s="61" t="inlineStr">
        <is>
          <t>Total Revenue</t>
        </is>
      </c>
      <c r="K5" s="66" t="n"/>
    </row>
    <row r="6" ht="20.25" customHeight="1">
      <c r="B6" s="262" t="n">
        <v>50</v>
      </c>
      <c r="C6" s="263" t="n">
        <v>50</v>
      </c>
      <c r="D6" s="69">
        <f>COUNTIF('Q2-Buy-NoBuy'!J$3:J$115,"N")</f>
        <v/>
      </c>
      <c r="E6" s="70">
        <f>COUNTIF('Q2-Buy-NoBuy'!J$3:J$115,"P")</f>
        <v/>
      </c>
      <c r="F6" s="84">
        <f>D6/$D$2*$D$3</f>
        <v/>
      </c>
      <c r="G6" s="84">
        <f>E6/$D$2*$D$3</f>
        <v/>
      </c>
      <c r="H6" s="84">
        <f>B6*F6</f>
        <v/>
      </c>
      <c r="I6" s="84">
        <f>C6*G6</f>
        <v/>
      </c>
      <c r="J6" s="84">
        <f>H6+I6</f>
        <v/>
      </c>
    </row>
    <row r="7" ht="20.25" customHeight="1">
      <c r="B7" s="264">
        <f>B6</f>
        <v/>
      </c>
      <c r="C7" s="263" t="n">
        <v>75</v>
      </c>
      <c r="D7" s="69">
        <f>COUNTIF('Q2-Buy-NoBuy'!K$3:K$115,"N")</f>
        <v/>
      </c>
      <c r="E7" s="70">
        <f>COUNTIF('Q2-Buy-NoBuy'!K$3:K$115,"P")</f>
        <v/>
      </c>
      <c r="F7" s="84">
        <f>D7/$D$2*$D$3</f>
        <v/>
      </c>
      <c r="G7" s="84">
        <f>E7/$D$2*$D$3</f>
        <v/>
      </c>
      <c r="H7" s="84">
        <f>B7*F7</f>
        <v/>
      </c>
      <c r="I7" s="84">
        <f>C7*G7</f>
        <v/>
      </c>
      <c r="J7" s="84">
        <f>H7+I7</f>
        <v/>
      </c>
    </row>
    <row r="8" ht="20.25" customHeight="1">
      <c r="B8" s="264">
        <f>B7</f>
        <v/>
      </c>
      <c r="C8" s="263" t="n">
        <v>100</v>
      </c>
      <c r="D8" s="69">
        <f>COUNTIF('Q2-Buy-NoBuy'!L$3:L$115,"N")</f>
        <v/>
      </c>
      <c r="E8" s="70">
        <f>COUNTIF('Q2-Buy-NoBuy'!L$3:L$115,"P")</f>
        <v/>
      </c>
      <c r="F8" s="84">
        <f>D8/$D$2*$D$3</f>
        <v/>
      </c>
      <c r="G8" s="84">
        <f>E8/$D$2*$D$3</f>
        <v/>
      </c>
      <c r="H8" s="84">
        <f>B8*F8</f>
        <v/>
      </c>
      <c r="I8" s="84">
        <f>C8*G8</f>
        <v/>
      </c>
      <c r="J8" s="84">
        <f>H8+I8</f>
        <v/>
      </c>
    </row>
    <row r="9" ht="20.25" customHeight="1">
      <c r="B9" s="264">
        <f>B8</f>
        <v/>
      </c>
      <c r="C9" s="263" t="n">
        <v>125</v>
      </c>
      <c r="D9" s="69">
        <f>COUNTIF('Q2-Buy-NoBuy'!M$3:M$115,"N")</f>
        <v/>
      </c>
      <c r="E9" s="70">
        <f>COUNTIF('Q2-Buy-NoBuy'!M$3:M$115,"P")</f>
        <v/>
      </c>
      <c r="F9" s="84">
        <f>D9/$D$2*$D$3</f>
        <v/>
      </c>
      <c r="G9" s="84">
        <f>E9/$D$2*$D$3</f>
        <v/>
      </c>
      <c r="H9" s="84">
        <f>B9*F9</f>
        <v/>
      </c>
      <c r="I9" s="84">
        <f>C9*G9</f>
        <v/>
      </c>
      <c r="J9" s="84">
        <f>H9+I9</f>
        <v/>
      </c>
    </row>
    <row r="10" ht="20.25" customHeight="1" thickBot="1">
      <c r="B10" s="265">
        <f>B9</f>
        <v/>
      </c>
      <c r="C10" s="266" t="n">
        <v>150</v>
      </c>
      <c r="D10" s="74">
        <f>COUNTIF('Q2-Buy-NoBuy'!N$3:N$115,"N")</f>
        <v/>
      </c>
      <c r="E10" s="75">
        <f>COUNTIF('Q2-Buy-NoBuy'!N$3:N$115,"P")</f>
        <v/>
      </c>
      <c r="F10" s="85">
        <f>D10/$D$2*$D$3</f>
        <v/>
      </c>
      <c r="G10" s="86">
        <f>E10/$D$2*$D$3</f>
        <v/>
      </c>
      <c r="H10" s="86">
        <f>B10*F10</f>
        <v/>
      </c>
      <c r="I10" s="86">
        <f>C10*G10</f>
        <v/>
      </c>
      <c r="J10" s="86">
        <f>H10+I10</f>
        <v/>
      </c>
    </row>
  </sheetData>
  <pageMargins left="0.75" right="0.75" top="1" bottom="1" header="0.5" footer="0.5"/>
  <pageSetup orientation="portrait" horizontalDpi="1200" verticalDpi="1200"/>
</worksheet>
</file>

<file path=xl/worksheets/sheet4.xml><?xml version="1.0" encoding="utf-8"?>
<worksheet xmlns="http://schemas.openxmlformats.org/spreadsheetml/2006/main">
  <sheetPr codeName="Sheet9" enableFormatConditionsCalculation="0">
    <outlinePr summaryBelow="1" summaryRight="1"/>
    <pageSetUpPr/>
  </sheetPr>
  <dimension ref="A1:U131"/>
  <sheetViews>
    <sheetView showGridLines="0" tabSelected="1" zoomScale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O30" sqref="O30"/>
    </sheetView>
  </sheetViews>
  <sheetFormatPr baseColWidth="10" defaultColWidth="8.83203125" defaultRowHeight="21" customHeight="1"/>
  <cols>
    <col width="5.5" customWidth="1" style="20" min="1" max="1"/>
    <col width="15.6640625" customWidth="1" style="20" min="2" max="2"/>
    <col width="19.1640625" customWidth="1" style="20" min="3" max="3"/>
    <col width="23.83203125" customWidth="1" style="20" min="4" max="4"/>
    <col width="11" customWidth="1" style="20" min="5" max="9"/>
    <col width="12.5" customWidth="1" style="20" min="10" max="14"/>
    <col width="8.83203125" customWidth="1" style="20" min="15" max="16384"/>
  </cols>
  <sheetData>
    <row r="1" ht="42.75" customFormat="1" customHeight="1" s="258">
      <c r="A1" s="16" t="n"/>
      <c r="B1" s="267" t="inlineStr">
        <is>
          <t>MAX WTP</t>
        </is>
      </c>
      <c r="C1" s="261" t="n"/>
      <c r="D1" s="47" t="inlineStr">
        <is>
          <t>Net Utility During Non-Peak Hours</t>
        </is>
      </c>
      <c r="E1" s="238" t="inlineStr">
        <is>
          <t>Net Utility During Peak Hours</t>
        </is>
      </c>
      <c r="F1" s="260" t="n"/>
      <c r="G1" s="260" t="n"/>
      <c r="H1" s="260" t="n"/>
      <c r="I1" s="261" t="n"/>
      <c r="J1" s="268" t="inlineStr">
        <is>
          <t>Choice (P: buy peak; N: by non-peak; O: not buy)</t>
        </is>
      </c>
      <c r="N1" s="269" t="n"/>
      <c r="O1" s="239" t="n"/>
      <c r="P1" s="260" t="n"/>
      <c r="Q1" s="260" t="n"/>
      <c r="R1" s="260" t="n"/>
      <c r="S1" s="260" t="n"/>
      <c r="T1" s="260" t="n"/>
      <c r="U1" s="260" t="n"/>
    </row>
    <row r="2" ht="21" customFormat="1" customHeight="1" s="258" thickBot="1">
      <c r="A2" s="29" t="inlineStr">
        <is>
          <t>ID</t>
        </is>
      </c>
      <c r="B2" s="30" t="inlineStr">
        <is>
          <t>Non-Peak</t>
        </is>
      </c>
      <c r="C2" s="31" t="inlineStr">
        <is>
          <t>Peak (5-9pm)</t>
        </is>
      </c>
      <c r="D2" s="270">
        <f>'Q2'!B6</f>
        <v/>
      </c>
      <c r="E2" s="271">
        <f>'Q1'!B10</f>
        <v/>
      </c>
      <c r="F2" s="271">
        <f>'Q1'!B9</f>
        <v/>
      </c>
      <c r="G2" s="271">
        <f>'Q1'!B8</f>
        <v/>
      </c>
      <c r="H2" s="271">
        <f>'Q1'!B7</f>
        <v/>
      </c>
      <c r="I2" s="272">
        <f>'Q1'!B6</f>
        <v/>
      </c>
      <c r="J2" s="273">
        <f>E2</f>
        <v/>
      </c>
      <c r="K2" s="271">
        <f>F2</f>
        <v/>
      </c>
      <c r="L2" s="271">
        <f>G2</f>
        <v/>
      </c>
      <c r="M2" s="271">
        <f>H2</f>
        <v/>
      </c>
      <c r="N2" s="272">
        <f>I2</f>
        <v/>
      </c>
    </row>
    <row r="3" ht="21" customHeight="1" thickTop="1">
      <c r="A3" s="18" t="n">
        <v>1</v>
      </c>
      <c r="B3" s="43">
        <f>MAX('Q1 WTP data'!B4:E4,'Q1 WTP data'!G4)</f>
        <v/>
      </c>
      <c r="C3" s="45">
        <f>'Q1 WTP data'!F4</f>
        <v/>
      </c>
      <c r="D3" s="48">
        <f>B3-D$2</f>
        <v/>
      </c>
      <c r="E3" s="49">
        <f>C3-E$2</f>
        <v/>
      </c>
      <c r="F3" s="49">
        <f>C3-F$2</f>
        <v/>
      </c>
      <c r="G3" s="49">
        <f>C3-G$2</f>
        <v/>
      </c>
      <c r="H3" s="49">
        <f>C3-H$2</f>
        <v/>
      </c>
      <c r="I3" s="49">
        <f>C3-I$2</f>
        <v/>
      </c>
      <c r="J3" s="53">
        <f>IF(AND(E3&gt;=D3,E3&gt;=0),"P",IF(D3&gt;=0,"N","O"))</f>
        <v/>
      </c>
      <c r="K3" s="54">
        <f>IF(AND(F3&gt;=D3,F3&gt;=0),"P",IF(D3&gt;=0,"N","O"))</f>
        <v/>
      </c>
      <c r="L3" s="54">
        <f>IF(AND(G3&gt;=D3,G3&gt;=0),"P",IF(D3&gt;=0,"N","O"))</f>
        <v/>
      </c>
      <c r="M3" s="54">
        <f>IF(AND(H3&gt;=D3,H3&gt;=0),"P",IF(D3&gt;=0,"N","O"))</f>
        <v/>
      </c>
      <c r="N3" s="55">
        <f>IF(AND(I3&gt;=D3,I3&gt;=0),"P",IF(D3&gt;=0,"N","O"))</f>
        <v/>
      </c>
    </row>
    <row r="4" ht="21" customHeight="1">
      <c r="A4" s="18" t="n">
        <v>2</v>
      </c>
      <c r="B4" s="43">
        <f>MAX('Q1 WTP data'!B5:E5,'Q1 WTP data'!G5)</f>
        <v/>
      </c>
      <c r="C4" s="45">
        <f>'Q1 WTP data'!F5</f>
        <v/>
      </c>
      <c r="D4" s="48">
        <f>B4-D$2</f>
        <v/>
      </c>
      <c r="E4" s="49">
        <f>C4-E$2</f>
        <v/>
      </c>
      <c r="F4" s="49">
        <f>C4-F$2</f>
        <v/>
      </c>
      <c r="G4" s="49">
        <f>C4-G$2</f>
        <v/>
      </c>
      <c r="H4" s="49">
        <f>C4-H$2</f>
        <v/>
      </c>
      <c r="I4" s="49">
        <f>C4-I$2</f>
        <v/>
      </c>
      <c r="J4" s="53">
        <f>IF(AND(E4&gt;=D4,E4&gt;=0),"P",IF(D4&gt;=0,"N","O"))</f>
        <v/>
      </c>
      <c r="K4" s="54">
        <f>IF(AND(F4&gt;=D4,F4&gt;=0),"P",IF(D4&gt;=0,"N","O"))</f>
        <v/>
      </c>
      <c r="L4" s="54">
        <f>IF(AND(G4&gt;=D4,G4&gt;=0),"P",IF(D4&gt;=0,"N","O"))</f>
        <v/>
      </c>
      <c r="M4" s="54">
        <f>IF(AND(H4&gt;=D4,H4&gt;=0),"P",IF(D4&gt;=0,"N","O"))</f>
        <v/>
      </c>
      <c r="N4" s="55">
        <f>IF(AND(I4&gt;=D4,I4&gt;=0),"P",IF(D4&gt;=0,"N","O"))</f>
        <v/>
      </c>
    </row>
    <row r="5" ht="21" customHeight="1">
      <c r="A5" s="18" t="n">
        <v>3</v>
      </c>
      <c r="B5" s="43">
        <f>MAX('Q1 WTP data'!B6:E6,'Q1 WTP data'!G6)</f>
        <v/>
      </c>
      <c r="C5" s="45">
        <f>'Q1 WTP data'!F6</f>
        <v/>
      </c>
      <c r="D5" s="48">
        <f>B5-D$2</f>
        <v/>
      </c>
      <c r="E5" s="49">
        <f>C5-E$2</f>
        <v/>
      </c>
      <c r="F5" s="49">
        <f>C5-F$2</f>
        <v/>
      </c>
      <c r="G5" s="49">
        <f>C5-G$2</f>
        <v/>
      </c>
      <c r="H5" s="49">
        <f>C5-H$2</f>
        <v/>
      </c>
      <c r="I5" s="49">
        <f>C5-I$2</f>
        <v/>
      </c>
      <c r="J5" s="53">
        <f>IF(AND(E5&gt;=D5,E5&gt;=0),"P",IF(D5&gt;=0,"N","O"))</f>
        <v/>
      </c>
      <c r="K5" s="54">
        <f>IF(AND(F5&gt;=D5,F5&gt;=0),"P",IF(D5&gt;=0,"N","O"))</f>
        <v/>
      </c>
      <c r="L5" s="54">
        <f>IF(AND(G5&gt;=D5,G5&gt;=0),"P",IF(D5&gt;=0,"N","O"))</f>
        <v/>
      </c>
      <c r="M5" s="54">
        <f>IF(AND(H5&gt;=D5,H5&gt;=0),"P",IF(D5&gt;=0,"N","O"))</f>
        <v/>
      </c>
      <c r="N5" s="55">
        <f>IF(AND(I5&gt;=D5,I5&gt;=0),"P",IF(D5&gt;=0,"N","O"))</f>
        <v/>
      </c>
    </row>
    <row r="6" ht="21" customHeight="1">
      <c r="A6" s="18" t="n">
        <v>4</v>
      </c>
      <c r="B6" s="43">
        <f>MAX('Q1 WTP data'!B7:E7,'Q1 WTP data'!G7)</f>
        <v/>
      </c>
      <c r="C6" s="45">
        <f>'Q1 WTP data'!F7</f>
        <v/>
      </c>
      <c r="D6" s="48">
        <f>B6-D$2</f>
        <v/>
      </c>
      <c r="E6" s="49">
        <f>C6-E$2</f>
        <v/>
      </c>
      <c r="F6" s="49">
        <f>C6-F$2</f>
        <v/>
      </c>
      <c r="G6" s="49">
        <f>C6-G$2</f>
        <v/>
      </c>
      <c r="H6" s="49">
        <f>C6-H$2</f>
        <v/>
      </c>
      <c r="I6" s="49">
        <f>C6-I$2</f>
        <v/>
      </c>
      <c r="J6" s="53">
        <f>IF(AND(E6&gt;=D6,E6&gt;=0),"P",IF(D6&gt;=0,"N","O"))</f>
        <v/>
      </c>
      <c r="K6" s="54">
        <f>IF(AND(F6&gt;=D6,F6&gt;=0),"P",IF(D6&gt;=0,"N","O"))</f>
        <v/>
      </c>
      <c r="L6" s="54">
        <f>IF(AND(G6&gt;=D6,G6&gt;=0),"P",IF(D6&gt;=0,"N","O"))</f>
        <v/>
      </c>
      <c r="M6" s="54">
        <f>IF(AND(H6&gt;=D6,H6&gt;=0),"P",IF(D6&gt;=0,"N","O"))</f>
        <v/>
      </c>
      <c r="N6" s="55">
        <f>IF(AND(I6&gt;=D6,I6&gt;=0),"P",IF(D6&gt;=0,"N","O"))</f>
        <v/>
      </c>
    </row>
    <row r="7" ht="21" customHeight="1">
      <c r="A7" s="18" t="n">
        <v>5</v>
      </c>
      <c r="B7" s="43">
        <f>MAX('Q1 WTP data'!B8:E8,'Q1 WTP data'!G8)</f>
        <v/>
      </c>
      <c r="C7" s="45">
        <f>'Q1 WTP data'!F8</f>
        <v/>
      </c>
      <c r="D7" s="48">
        <f>B7-D$2</f>
        <v/>
      </c>
      <c r="E7" s="49">
        <f>C7-E$2</f>
        <v/>
      </c>
      <c r="F7" s="49">
        <f>C7-F$2</f>
        <v/>
      </c>
      <c r="G7" s="49">
        <f>C7-G$2</f>
        <v/>
      </c>
      <c r="H7" s="49">
        <f>C7-H$2</f>
        <v/>
      </c>
      <c r="I7" s="49">
        <f>C7-I$2</f>
        <v/>
      </c>
      <c r="J7" s="53">
        <f>IF(AND(E7&gt;=D7,E7&gt;=0),"P",IF(D7&gt;=0,"N","O"))</f>
        <v/>
      </c>
      <c r="K7" s="54">
        <f>IF(AND(F7&gt;=D7,F7&gt;=0),"P",IF(D7&gt;=0,"N","O"))</f>
        <v/>
      </c>
      <c r="L7" s="54">
        <f>IF(AND(G7&gt;=D7,G7&gt;=0),"P",IF(D7&gt;=0,"N","O"))</f>
        <v/>
      </c>
      <c r="M7" s="54">
        <f>IF(AND(H7&gt;=D7,H7&gt;=0),"P",IF(D7&gt;=0,"N","O"))</f>
        <v/>
      </c>
      <c r="N7" s="55">
        <f>IF(AND(I7&gt;=D7,I7&gt;=0),"P",IF(D7&gt;=0,"N","O"))</f>
        <v/>
      </c>
    </row>
    <row r="8" ht="21" customHeight="1">
      <c r="A8" s="18" t="n">
        <v>6</v>
      </c>
      <c r="B8" s="43">
        <f>MAX('Q1 WTP data'!B9:E9,'Q1 WTP data'!G9)</f>
        <v/>
      </c>
      <c r="C8" s="45">
        <f>'Q1 WTP data'!F9</f>
        <v/>
      </c>
      <c r="D8" s="48">
        <f>B8-D$2</f>
        <v/>
      </c>
      <c r="E8" s="49">
        <f>C8-E$2</f>
        <v/>
      </c>
      <c r="F8" s="49">
        <f>C8-F$2</f>
        <v/>
      </c>
      <c r="G8" s="49">
        <f>C8-G$2</f>
        <v/>
      </c>
      <c r="H8" s="49">
        <f>C8-H$2</f>
        <v/>
      </c>
      <c r="I8" s="49">
        <f>C8-I$2</f>
        <v/>
      </c>
      <c r="J8" s="53">
        <f>IF(AND(E8&gt;=D8,E8&gt;=0),"P",IF(D8&gt;=0,"N","O"))</f>
        <v/>
      </c>
      <c r="K8" s="54">
        <f>IF(AND(F8&gt;=D8,F8&gt;=0),"P",IF(D8&gt;=0,"N","O"))</f>
        <v/>
      </c>
      <c r="L8" s="54">
        <f>IF(AND(G8&gt;=D8,G8&gt;=0),"P",IF(D8&gt;=0,"N","O"))</f>
        <v/>
      </c>
      <c r="M8" s="54">
        <f>IF(AND(H8&gt;=D8,H8&gt;=0),"P",IF(D8&gt;=0,"N","O"))</f>
        <v/>
      </c>
      <c r="N8" s="55">
        <f>IF(AND(I8&gt;=D8,I8&gt;=0),"P",IF(D8&gt;=0,"N","O"))</f>
        <v/>
      </c>
    </row>
    <row r="9" ht="21" customHeight="1">
      <c r="A9" s="18" t="n">
        <v>7</v>
      </c>
      <c r="B9" s="43">
        <f>MAX('Q1 WTP data'!B10:E10,'Q1 WTP data'!G10)</f>
        <v/>
      </c>
      <c r="C9" s="45">
        <f>'Q1 WTP data'!F10</f>
        <v/>
      </c>
      <c r="D9" s="48">
        <f>B9-D$2</f>
        <v/>
      </c>
      <c r="E9" s="49">
        <f>C9-E$2</f>
        <v/>
      </c>
      <c r="F9" s="49">
        <f>C9-F$2</f>
        <v/>
      </c>
      <c r="G9" s="49">
        <f>C9-G$2</f>
        <v/>
      </c>
      <c r="H9" s="49">
        <f>C9-H$2</f>
        <v/>
      </c>
      <c r="I9" s="49">
        <f>C9-I$2</f>
        <v/>
      </c>
      <c r="J9" s="53">
        <f>IF(AND(E9&gt;=D9,E9&gt;=0),"P",IF(D9&gt;=0,"N","O"))</f>
        <v/>
      </c>
      <c r="K9" s="54">
        <f>IF(AND(F9&gt;=D9,F9&gt;=0),"P",IF(D9&gt;=0,"N","O"))</f>
        <v/>
      </c>
      <c r="L9" s="54">
        <f>IF(AND(G9&gt;=D9,G9&gt;=0),"P",IF(D9&gt;=0,"N","O"))</f>
        <v/>
      </c>
      <c r="M9" s="54">
        <f>IF(AND(H9&gt;=D9,H9&gt;=0),"P",IF(D9&gt;=0,"N","O"))</f>
        <v/>
      </c>
      <c r="N9" s="55">
        <f>IF(AND(I9&gt;=D9,I9&gt;=0),"P",IF(D9&gt;=0,"N","O"))</f>
        <v/>
      </c>
    </row>
    <row r="10" ht="21" customHeight="1">
      <c r="A10" s="18" t="n">
        <v>8</v>
      </c>
      <c r="B10" s="43">
        <f>MAX('Q1 WTP data'!B11:E11,'Q1 WTP data'!G11)</f>
        <v/>
      </c>
      <c r="C10" s="45">
        <f>'Q1 WTP data'!F11</f>
        <v/>
      </c>
      <c r="D10" s="48">
        <f>B10-D$2</f>
        <v/>
      </c>
      <c r="E10" s="49">
        <f>C10-E$2</f>
        <v/>
      </c>
      <c r="F10" s="49">
        <f>C10-F$2</f>
        <v/>
      </c>
      <c r="G10" s="49">
        <f>C10-G$2</f>
        <v/>
      </c>
      <c r="H10" s="49">
        <f>C10-H$2</f>
        <v/>
      </c>
      <c r="I10" s="49">
        <f>C10-I$2</f>
        <v/>
      </c>
      <c r="J10" s="53">
        <f>IF(AND(E10&gt;=D10,E10&gt;=0),"P",IF(D10&gt;=0,"N","O"))</f>
        <v/>
      </c>
      <c r="K10" s="54">
        <f>IF(AND(F10&gt;=D10,F10&gt;=0),"P",IF(D10&gt;=0,"N","O"))</f>
        <v/>
      </c>
      <c r="L10" s="54">
        <f>IF(AND(G10&gt;=D10,G10&gt;=0),"P",IF(D10&gt;=0,"N","O"))</f>
        <v/>
      </c>
      <c r="M10" s="54">
        <f>IF(AND(H10&gt;=D10,H10&gt;=0),"P",IF(D10&gt;=0,"N","O"))</f>
        <v/>
      </c>
      <c r="N10" s="55">
        <f>IF(AND(I10&gt;=D10,I10&gt;=0),"P",IF(D10&gt;=0,"N","O"))</f>
        <v/>
      </c>
    </row>
    <row r="11" ht="21" customHeight="1">
      <c r="A11" s="18" t="n">
        <v>9</v>
      </c>
      <c r="B11" s="43">
        <f>MAX('Q1 WTP data'!B12:E12,'Q1 WTP data'!G12)</f>
        <v/>
      </c>
      <c r="C11" s="45">
        <f>'Q1 WTP data'!F12</f>
        <v/>
      </c>
      <c r="D11" s="48">
        <f>B11-D$2</f>
        <v/>
      </c>
      <c r="E11" s="49">
        <f>C11-E$2</f>
        <v/>
      </c>
      <c r="F11" s="49">
        <f>C11-F$2</f>
        <v/>
      </c>
      <c r="G11" s="49">
        <f>C11-G$2</f>
        <v/>
      </c>
      <c r="H11" s="49">
        <f>C11-H$2</f>
        <v/>
      </c>
      <c r="I11" s="49">
        <f>C11-I$2</f>
        <v/>
      </c>
      <c r="J11" s="53">
        <f>IF(AND(E11&gt;=D11,E11&gt;=0),"P",IF(D11&gt;=0,"N","O"))</f>
        <v/>
      </c>
      <c r="K11" s="54">
        <f>IF(AND(F11&gt;=D11,F11&gt;=0),"P",IF(D11&gt;=0,"N","O"))</f>
        <v/>
      </c>
      <c r="L11" s="54">
        <f>IF(AND(G11&gt;=D11,G11&gt;=0),"P",IF(D11&gt;=0,"N","O"))</f>
        <v/>
      </c>
      <c r="M11" s="54">
        <f>IF(AND(H11&gt;=D11,H11&gt;=0),"P",IF(D11&gt;=0,"N","O"))</f>
        <v/>
      </c>
      <c r="N11" s="55">
        <f>IF(AND(I11&gt;=D11,I11&gt;=0),"P",IF(D11&gt;=0,"N","O"))</f>
        <v/>
      </c>
    </row>
    <row r="12" ht="21" customHeight="1">
      <c r="A12" s="18" t="n">
        <v>10</v>
      </c>
      <c r="B12" s="43">
        <f>MAX('Q1 WTP data'!B13:E13,'Q1 WTP data'!G13)</f>
        <v/>
      </c>
      <c r="C12" s="45">
        <f>'Q1 WTP data'!F13</f>
        <v/>
      </c>
      <c r="D12" s="48">
        <f>B12-D$2</f>
        <v/>
      </c>
      <c r="E12" s="49">
        <f>C12-E$2</f>
        <v/>
      </c>
      <c r="F12" s="49">
        <f>C12-F$2</f>
        <v/>
      </c>
      <c r="G12" s="49">
        <f>C12-G$2</f>
        <v/>
      </c>
      <c r="H12" s="49">
        <f>C12-H$2</f>
        <v/>
      </c>
      <c r="I12" s="49">
        <f>C12-I$2</f>
        <v/>
      </c>
      <c r="J12" s="53">
        <f>IF(AND(E12&gt;=D12,E12&gt;=0),"P",IF(D12&gt;=0,"N","O"))</f>
        <v/>
      </c>
      <c r="K12" s="54">
        <f>IF(AND(F12&gt;=D12,F12&gt;=0),"P",IF(D12&gt;=0,"N","O"))</f>
        <v/>
      </c>
      <c r="L12" s="54">
        <f>IF(AND(G12&gt;=D12,G12&gt;=0),"P",IF(D12&gt;=0,"N","O"))</f>
        <v/>
      </c>
      <c r="M12" s="54">
        <f>IF(AND(H12&gt;=D12,H12&gt;=0),"P",IF(D12&gt;=0,"N","O"))</f>
        <v/>
      </c>
      <c r="N12" s="55">
        <f>IF(AND(I12&gt;=D12,I12&gt;=0),"P",IF(D12&gt;=0,"N","O"))</f>
        <v/>
      </c>
    </row>
    <row r="13" ht="21" customHeight="1">
      <c r="A13" s="18" t="n">
        <v>11</v>
      </c>
      <c r="B13" s="43">
        <f>MAX('Q1 WTP data'!B14:E14,'Q1 WTP data'!G14)</f>
        <v/>
      </c>
      <c r="C13" s="45">
        <f>'Q1 WTP data'!F14</f>
        <v/>
      </c>
      <c r="D13" s="48">
        <f>B13-D$2</f>
        <v/>
      </c>
      <c r="E13" s="49">
        <f>C13-E$2</f>
        <v/>
      </c>
      <c r="F13" s="49">
        <f>C13-F$2</f>
        <v/>
      </c>
      <c r="G13" s="49">
        <f>C13-G$2</f>
        <v/>
      </c>
      <c r="H13" s="49">
        <f>C13-H$2</f>
        <v/>
      </c>
      <c r="I13" s="49">
        <f>C13-I$2</f>
        <v/>
      </c>
      <c r="J13" s="53">
        <f>IF(AND(E13&gt;=D13,E13&gt;=0),"P",IF(D13&gt;=0,"N","O"))</f>
        <v/>
      </c>
      <c r="K13" s="54">
        <f>IF(AND(F13&gt;=D13,F13&gt;=0),"P",IF(D13&gt;=0,"N","O"))</f>
        <v/>
      </c>
      <c r="L13" s="54">
        <f>IF(AND(G13&gt;=D13,G13&gt;=0),"P",IF(D13&gt;=0,"N","O"))</f>
        <v/>
      </c>
      <c r="M13" s="54">
        <f>IF(AND(H13&gt;=D13,H13&gt;=0),"P",IF(D13&gt;=0,"N","O"))</f>
        <v/>
      </c>
      <c r="N13" s="55">
        <f>IF(AND(I13&gt;=D13,I13&gt;=0),"P",IF(D13&gt;=0,"N","O"))</f>
        <v/>
      </c>
    </row>
    <row r="14" ht="21" customHeight="1">
      <c r="A14" s="18" t="n">
        <v>12</v>
      </c>
      <c r="B14" s="43">
        <f>MAX('Q1 WTP data'!B15:E15,'Q1 WTP data'!G15)</f>
        <v/>
      </c>
      <c r="C14" s="45">
        <f>'Q1 WTP data'!F15</f>
        <v/>
      </c>
      <c r="D14" s="48">
        <f>B14-D$2</f>
        <v/>
      </c>
      <c r="E14" s="49">
        <f>C14-E$2</f>
        <v/>
      </c>
      <c r="F14" s="49">
        <f>C14-F$2</f>
        <v/>
      </c>
      <c r="G14" s="49">
        <f>C14-G$2</f>
        <v/>
      </c>
      <c r="H14" s="49">
        <f>C14-H$2</f>
        <v/>
      </c>
      <c r="I14" s="49">
        <f>C14-I$2</f>
        <v/>
      </c>
      <c r="J14" s="53">
        <f>IF(AND(E14&gt;=D14,E14&gt;=0),"P",IF(D14&gt;=0,"N","O"))</f>
        <v/>
      </c>
      <c r="K14" s="54">
        <f>IF(AND(F14&gt;=D14,F14&gt;=0),"P",IF(D14&gt;=0,"N","O"))</f>
        <v/>
      </c>
      <c r="L14" s="54">
        <f>IF(AND(G14&gt;=D14,G14&gt;=0),"P",IF(D14&gt;=0,"N","O"))</f>
        <v/>
      </c>
      <c r="M14" s="54">
        <f>IF(AND(H14&gt;=D14,H14&gt;=0),"P",IF(D14&gt;=0,"N","O"))</f>
        <v/>
      </c>
      <c r="N14" s="55">
        <f>IF(AND(I14&gt;=D14,I14&gt;=0),"P",IF(D14&gt;=0,"N","O"))</f>
        <v/>
      </c>
    </row>
    <row r="15" ht="21" customHeight="1">
      <c r="A15" s="18" t="n">
        <v>13</v>
      </c>
      <c r="B15" s="43">
        <f>MAX('Q1 WTP data'!B16:E16,'Q1 WTP data'!G16)</f>
        <v/>
      </c>
      <c r="C15" s="45">
        <f>'Q1 WTP data'!F16</f>
        <v/>
      </c>
      <c r="D15" s="48">
        <f>B15-D$2</f>
        <v/>
      </c>
      <c r="E15" s="49">
        <f>C15-E$2</f>
        <v/>
      </c>
      <c r="F15" s="49">
        <f>C15-F$2</f>
        <v/>
      </c>
      <c r="G15" s="49">
        <f>C15-G$2</f>
        <v/>
      </c>
      <c r="H15" s="49">
        <f>C15-H$2</f>
        <v/>
      </c>
      <c r="I15" s="49">
        <f>C15-I$2</f>
        <v/>
      </c>
      <c r="J15" s="53">
        <f>IF(AND(E15&gt;=D15,E15&gt;=0),"P",IF(D15&gt;=0,"N","O"))</f>
        <v/>
      </c>
      <c r="K15" s="54">
        <f>IF(AND(F15&gt;=D15,F15&gt;=0),"P",IF(D15&gt;=0,"N","O"))</f>
        <v/>
      </c>
      <c r="L15" s="54">
        <f>IF(AND(G15&gt;=D15,G15&gt;=0),"P",IF(D15&gt;=0,"N","O"))</f>
        <v/>
      </c>
      <c r="M15" s="54">
        <f>IF(AND(H15&gt;=D15,H15&gt;=0),"P",IF(D15&gt;=0,"N","O"))</f>
        <v/>
      </c>
      <c r="N15" s="55">
        <f>IF(AND(I15&gt;=D15,I15&gt;=0),"P",IF(D15&gt;=0,"N","O"))</f>
        <v/>
      </c>
    </row>
    <row r="16" ht="21" customHeight="1">
      <c r="A16" s="18" t="n">
        <v>14</v>
      </c>
      <c r="B16" s="43">
        <f>MAX('Q1 WTP data'!B17:E17,'Q1 WTP data'!G17)</f>
        <v/>
      </c>
      <c r="C16" s="45">
        <f>'Q1 WTP data'!F17</f>
        <v/>
      </c>
      <c r="D16" s="48">
        <f>B16-D$2</f>
        <v/>
      </c>
      <c r="E16" s="49">
        <f>C16-E$2</f>
        <v/>
      </c>
      <c r="F16" s="49">
        <f>C16-F$2</f>
        <v/>
      </c>
      <c r="G16" s="49">
        <f>C16-G$2</f>
        <v/>
      </c>
      <c r="H16" s="49">
        <f>C16-H$2</f>
        <v/>
      </c>
      <c r="I16" s="49">
        <f>C16-I$2</f>
        <v/>
      </c>
      <c r="J16" s="53">
        <f>IF(AND(E16&gt;=D16,E16&gt;=0),"P",IF(D16&gt;=0,"N","O"))</f>
        <v/>
      </c>
      <c r="K16" s="54">
        <f>IF(AND(F16&gt;=D16,F16&gt;=0),"P",IF(D16&gt;=0,"N","O"))</f>
        <v/>
      </c>
      <c r="L16" s="54">
        <f>IF(AND(G16&gt;=D16,G16&gt;=0),"P",IF(D16&gt;=0,"N","O"))</f>
        <v/>
      </c>
      <c r="M16" s="54">
        <f>IF(AND(H16&gt;=D16,H16&gt;=0),"P",IF(D16&gt;=0,"N","O"))</f>
        <v/>
      </c>
      <c r="N16" s="55">
        <f>IF(AND(I16&gt;=D16,I16&gt;=0),"P",IF(D16&gt;=0,"N","O"))</f>
        <v/>
      </c>
    </row>
    <row r="17" ht="21" customHeight="1">
      <c r="A17" s="18" t="n">
        <v>15</v>
      </c>
      <c r="B17" s="52">
        <f>MAX('Q1 WTP data'!B18:E18,'Q1 WTP data'!G18)</f>
        <v/>
      </c>
      <c r="C17" s="45">
        <f>'Q1 WTP data'!F18</f>
        <v/>
      </c>
      <c r="D17" s="49">
        <f>B17-D$2</f>
        <v/>
      </c>
      <c r="E17" s="49">
        <f>C17-E$2</f>
        <v/>
      </c>
      <c r="F17" s="49">
        <f>C17-F$2</f>
        <v/>
      </c>
      <c r="G17" s="49">
        <f>C17-G$2</f>
        <v/>
      </c>
      <c r="H17" s="49">
        <f>C17-H$2</f>
        <v/>
      </c>
      <c r="I17" s="49">
        <f>C17-I$2</f>
        <v/>
      </c>
      <c r="J17" s="53">
        <f>IF(AND(E17&gt;=D17,E17&gt;=0),"P",IF(D17&gt;=0,"N","O"))</f>
        <v/>
      </c>
      <c r="K17" s="54">
        <f>IF(AND(F17&gt;=D17,F17&gt;=0),"P",IF(D17&gt;=0,"N","O"))</f>
        <v/>
      </c>
      <c r="L17" s="54">
        <f>IF(AND(G17&gt;=D17,G17&gt;=0),"P",IF(D17&gt;=0,"N","O"))</f>
        <v/>
      </c>
      <c r="M17" s="54">
        <f>IF(AND(H17&gt;=D17,H17&gt;=0),"P",IF(D17&gt;=0,"N","O"))</f>
        <v/>
      </c>
      <c r="N17" s="55">
        <f>IF(AND(I17&gt;=D17,I17&gt;=0),"P",IF(D17&gt;=0,"N","O"))</f>
        <v/>
      </c>
    </row>
    <row r="18" ht="21" customHeight="1">
      <c r="A18" s="18" t="n">
        <v>16</v>
      </c>
      <c r="B18" s="43">
        <f>MAX('Q1 WTP data'!B19:E19,'Q1 WTP data'!G19)</f>
        <v/>
      </c>
      <c r="C18" s="45">
        <f>'Q1 WTP data'!F19</f>
        <v/>
      </c>
      <c r="D18" s="48">
        <f>B18-D$2</f>
        <v/>
      </c>
      <c r="E18" s="49">
        <f>C18-E$2</f>
        <v/>
      </c>
      <c r="F18" s="49">
        <f>C18-F$2</f>
        <v/>
      </c>
      <c r="G18" s="49">
        <f>C18-G$2</f>
        <v/>
      </c>
      <c r="H18" s="49">
        <f>C18-H$2</f>
        <v/>
      </c>
      <c r="I18" s="49">
        <f>C18-I$2</f>
        <v/>
      </c>
      <c r="J18" s="53">
        <f>IF(AND(E18&gt;=D18,E18&gt;=0),"P",IF(D18&gt;=0,"N","O"))</f>
        <v/>
      </c>
      <c r="K18" s="54">
        <f>IF(AND(F18&gt;=D18,F18&gt;=0),"P",IF(D18&gt;=0,"N","O"))</f>
        <v/>
      </c>
      <c r="L18" s="54">
        <f>IF(AND(G18&gt;=D18,G18&gt;=0),"P",IF(D18&gt;=0,"N","O"))</f>
        <v/>
      </c>
      <c r="M18" s="54">
        <f>IF(AND(H18&gt;=D18,H18&gt;=0),"P",IF(D18&gt;=0,"N","O"))</f>
        <v/>
      </c>
      <c r="N18" s="55">
        <f>IF(AND(I18&gt;=D18,I18&gt;=0),"P",IF(D18&gt;=0,"N","O"))</f>
        <v/>
      </c>
    </row>
    <row r="19" ht="21" customHeight="1">
      <c r="A19" s="18" t="n">
        <v>17</v>
      </c>
      <c r="B19" s="43">
        <f>MAX('Q1 WTP data'!B20:E20,'Q1 WTP data'!G20)</f>
        <v/>
      </c>
      <c r="C19" s="45">
        <f>'Q1 WTP data'!F20</f>
        <v/>
      </c>
      <c r="D19" s="48">
        <f>B19-D$2</f>
        <v/>
      </c>
      <c r="E19" s="49">
        <f>C19-E$2</f>
        <v/>
      </c>
      <c r="F19" s="49">
        <f>C19-F$2</f>
        <v/>
      </c>
      <c r="G19" s="49">
        <f>C19-G$2</f>
        <v/>
      </c>
      <c r="H19" s="49">
        <f>C19-H$2</f>
        <v/>
      </c>
      <c r="I19" s="49">
        <f>C19-I$2</f>
        <v/>
      </c>
      <c r="J19" s="53">
        <f>IF(AND(E19&gt;=D19,E19&gt;=0),"P",IF(D19&gt;=0,"N","O"))</f>
        <v/>
      </c>
      <c r="K19" s="54">
        <f>IF(AND(F19&gt;=D19,F19&gt;=0),"P",IF(D19&gt;=0,"N","O"))</f>
        <v/>
      </c>
      <c r="L19" s="54">
        <f>IF(AND(G19&gt;=D19,G19&gt;=0),"P",IF(D19&gt;=0,"N","O"))</f>
        <v/>
      </c>
      <c r="M19" s="54">
        <f>IF(AND(H19&gt;=D19,H19&gt;=0),"P",IF(D19&gt;=0,"N","O"))</f>
        <v/>
      </c>
      <c r="N19" s="55">
        <f>IF(AND(I19&gt;=D19,I19&gt;=0),"P",IF(D19&gt;=0,"N","O"))</f>
        <v/>
      </c>
    </row>
    <row r="20" ht="21" customHeight="1">
      <c r="A20" s="18" t="n">
        <v>18</v>
      </c>
      <c r="B20" s="43">
        <f>MAX('Q1 WTP data'!B21:E21,'Q1 WTP data'!G21)</f>
        <v/>
      </c>
      <c r="C20" s="45">
        <f>'Q1 WTP data'!F21</f>
        <v/>
      </c>
      <c r="D20" s="48">
        <f>B20-D$2</f>
        <v/>
      </c>
      <c r="E20" s="49">
        <f>C20-E$2</f>
        <v/>
      </c>
      <c r="F20" s="49">
        <f>C20-F$2</f>
        <v/>
      </c>
      <c r="G20" s="49">
        <f>C20-G$2</f>
        <v/>
      </c>
      <c r="H20" s="49">
        <f>C20-H$2</f>
        <v/>
      </c>
      <c r="I20" s="49">
        <f>C20-I$2</f>
        <v/>
      </c>
      <c r="J20" s="53">
        <f>IF(AND(E20&gt;=D20,E20&gt;=0),"P",IF(D20&gt;=0,"N","O"))</f>
        <v/>
      </c>
      <c r="K20" s="54">
        <f>IF(AND(F20&gt;=D20,F20&gt;=0),"P",IF(D20&gt;=0,"N","O"))</f>
        <v/>
      </c>
      <c r="L20" s="54">
        <f>IF(AND(G20&gt;=D20,G20&gt;=0),"P",IF(D20&gt;=0,"N","O"))</f>
        <v/>
      </c>
      <c r="M20" s="54">
        <f>IF(AND(H20&gt;=D20,H20&gt;=0),"P",IF(D20&gt;=0,"N","O"))</f>
        <v/>
      </c>
      <c r="N20" s="55">
        <f>IF(AND(I20&gt;=D20,I20&gt;=0),"P",IF(D20&gt;=0,"N","O"))</f>
        <v/>
      </c>
    </row>
    <row r="21" ht="21" customHeight="1">
      <c r="A21" s="18" t="n">
        <v>19</v>
      </c>
      <c r="B21" s="43">
        <f>MAX('Q1 WTP data'!B22:E22,'Q1 WTP data'!G22)</f>
        <v/>
      </c>
      <c r="C21" s="45">
        <f>'Q1 WTP data'!F22</f>
        <v/>
      </c>
      <c r="D21" s="48">
        <f>B21-D$2</f>
        <v/>
      </c>
      <c r="E21" s="49">
        <f>C21-E$2</f>
        <v/>
      </c>
      <c r="F21" s="49">
        <f>C21-F$2</f>
        <v/>
      </c>
      <c r="G21" s="49">
        <f>C21-G$2</f>
        <v/>
      </c>
      <c r="H21" s="49">
        <f>C21-H$2</f>
        <v/>
      </c>
      <c r="I21" s="49">
        <f>C21-I$2</f>
        <v/>
      </c>
      <c r="J21" s="53">
        <f>IF(AND(E21&gt;=D21,E21&gt;=0),"P",IF(D21&gt;=0,"N","O"))</f>
        <v/>
      </c>
      <c r="K21" s="54">
        <f>IF(AND(F21&gt;=D21,F21&gt;=0),"P",IF(D21&gt;=0,"N","O"))</f>
        <v/>
      </c>
      <c r="L21" s="54">
        <f>IF(AND(G21&gt;=D21,G21&gt;=0),"P",IF(D21&gt;=0,"N","O"))</f>
        <v/>
      </c>
      <c r="M21" s="54">
        <f>IF(AND(H21&gt;=D21,H21&gt;=0),"P",IF(D21&gt;=0,"N","O"))</f>
        <v/>
      </c>
      <c r="N21" s="55">
        <f>IF(AND(I21&gt;=D21,I21&gt;=0),"P",IF(D21&gt;=0,"N","O"))</f>
        <v/>
      </c>
    </row>
    <row r="22" ht="21" customHeight="1">
      <c r="A22" s="18" t="n">
        <v>20</v>
      </c>
      <c r="B22" s="43">
        <f>MAX('Q1 WTP data'!B23:E23,'Q1 WTP data'!G23)</f>
        <v/>
      </c>
      <c r="C22" s="45">
        <f>'Q1 WTP data'!F23</f>
        <v/>
      </c>
      <c r="D22" s="48">
        <f>B22-D$2</f>
        <v/>
      </c>
      <c r="E22" s="49">
        <f>C22-E$2</f>
        <v/>
      </c>
      <c r="F22" s="49">
        <f>C22-F$2</f>
        <v/>
      </c>
      <c r="G22" s="49">
        <f>C22-G$2</f>
        <v/>
      </c>
      <c r="H22" s="49">
        <f>C22-H$2</f>
        <v/>
      </c>
      <c r="I22" s="49">
        <f>C22-I$2</f>
        <v/>
      </c>
      <c r="J22" s="53">
        <f>IF(AND(E22&gt;=D22,E22&gt;=0),"P",IF(D22&gt;=0,"N","O"))</f>
        <v/>
      </c>
      <c r="K22" s="54">
        <f>IF(AND(F22&gt;=D22,F22&gt;=0),"P",IF(D22&gt;=0,"N","O"))</f>
        <v/>
      </c>
      <c r="L22" s="54">
        <f>IF(AND(G22&gt;=D22,G22&gt;=0),"P",IF(D22&gt;=0,"N","O"))</f>
        <v/>
      </c>
      <c r="M22" s="54">
        <f>IF(AND(H22&gt;=D22,H22&gt;=0),"P",IF(D22&gt;=0,"N","O"))</f>
        <v/>
      </c>
      <c r="N22" s="55">
        <f>IF(AND(I22&gt;=D22,I22&gt;=0),"P",IF(D22&gt;=0,"N","O"))</f>
        <v/>
      </c>
    </row>
    <row r="23" ht="21" customHeight="1">
      <c r="A23" s="18" t="n">
        <v>21</v>
      </c>
      <c r="B23" s="43">
        <f>MAX('Q1 WTP data'!B24:E24,'Q1 WTP data'!G24)</f>
        <v/>
      </c>
      <c r="C23" s="45">
        <f>'Q1 WTP data'!F24</f>
        <v/>
      </c>
      <c r="D23" s="48">
        <f>B23-D$2</f>
        <v/>
      </c>
      <c r="E23" s="49">
        <f>C23-E$2</f>
        <v/>
      </c>
      <c r="F23" s="49">
        <f>C23-F$2</f>
        <v/>
      </c>
      <c r="G23" s="49">
        <f>C23-G$2</f>
        <v/>
      </c>
      <c r="H23" s="49">
        <f>C23-H$2</f>
        <v/>
      </c>
      <c r="I23" s="49">
        <f>C23-I$2</f>
        <v/>
      </c>
      <c r="J23" s="53">
        <f>IF(AND(E23&gt;=D23,E23&gt;=0),"P",IF(D23&gt;=0,"N","O"))</f>
        <v/>
      </c>
      <c r="K23" s="54">
        <f>IF(AND(F23&gt;=D23,F23&gt;=0),"P",IF(D23&gt;=0,"N","O"))</f>
        <v/>
      </c>
      <c r="L23" s="54">
        <f>IF(AND(G23&gt;=D23,G23&gt;=0),"P",IF(D23&gt;=0,"N","O"))</f>
        <v/>
      </c>
      <c r="M23" s="54">
        <f>IF(AND(H23&gt;=D23,H23&gt;=0),"P",IF(D23&gt;=0,"N","O"))</f>
        <v/>
      </c>
      <c r="N23" s="55">
        <f>IF(AND(I23&gt;=D23,I23&gt;=0),"P",IF(D23&gt;=0,"N","O"))</f>
        <v/>
      </c>
    </row>
    <row r="24" ht="21" customHeight="1">
      <c r="A24" s="18" t="n">
        <v>22</v>
      </c>
      <c r="B24" s="43">
        <f>MAX('Q1 WTP data'!B25:E25,'Q1 WTP data'!G25)</f>
        <v/>
      </c>
      <c r="C24" s="45">
        <f>'Q1 WTP data'!F25</f>
        <v/>
      </c>
      <c r="D24" s="48">
        <f>B24-D$2</f>
        <v/>
      </c>
      <c r="E24" s="49">
        <f>C24-E$2</f>
        <v/>
      </c>
      <c r="F24" s="49">
        <f>C24-F$2</f>
        <v/>
      </c>
      <c r="G24" s="49">
        <f>C24-G$2</f>
        <v/>
      </c>
      <c r="H24" s="49">
        <f>C24-H$2</f>
        <v/>
      </c>
      <c r="I24" s="49">
        <f>C24-I$2</f>
        <v/>
      </c>
      <c r="J24" s="53">
        <f>IF(AND(E24&gt;=D24,E24&gt;=0),"P",IF(D24&gt;=0,"N","O"))</f>
        <v/>
      </c>
      <c r="K24" s="54">
        <f>IF(AND(F24&gt;=D24,F24&gt;=0),"P",IF(D24&gt;=0,"N","O"))</f>
        <v/>
      </c>
      <c r="L24" s="54">
        <f>IF(AND(G24&gt;=D24,G24&gt;=0),"P",IF(D24&gt;=0,"N","O"))</f>
        <v/>
      </c>
      <c r="M24" s="54">
        <f>IF(AND(H24&gt;=D24,H24&gt;=0),"P",IF(D24&gt;=0,"N","O"))</f>
        <v/>
      </c>
      <c r="N24" s="55">
        <f>IF(AND(I24&gt;=D24,I24&gt;=0),"P",IF(D24&gt;=0,"N","O"))</f>
        <v/>
      </c>
    </row>
    <row r="25" ht="21" customHeight="1">
      <c r="A25" s="18" t="n">
        <v>23</v>
      </c>
      <c r="B25" s="43">
        <f>MAX('Q1 WTP data'!B26:E26,'Q1 WTP data'!G26)</f>
        <v/>
      </c>
      <c r="C25" s="45">
        <f>'Q1 WTP data'!F26</f>
        <v/>
      </c>
      <c r="D25" s="48">
        <f>B25-D$2</f>
        <v/>
      </c>
      <c r="E25" s="49">
        <f>C25-E$2</f>
        <v/>
      </c>
      <c r="F25" s="49">
        <f>C25-F$2</f>
        <v/>
      </c>
      <c r="G25" s="49">
        <f>C25-G$2</f>
        <v/>
      </c>
      <c r="H25" s="49">
        <f>C25-H$2</f>
        <v/>
      </c>
      <c r="I25" s="49">
        <f>C25-I$2</f>
        <v/>
      </c>
      <c r="J25" s="53">
        <f>IF(AND(E25&gt;=D25,E25&gt;=0),"P",IF(D25&gt;=0,"N","O"))</f>
        <v/>
      </c>
      <c r="K25" s="54">
        <f>IF(AND(F25&gt;=D25,F25&gt;=0),"P",IF(D25&gt;=0,"N","O"))</f>
        <v/>
      </c>
      <c r="L25" s="54">
        <f>IF(AND(G25&gt;=D25,G25&gt;=0),"P",IF(D25&gt;=0,"N","O"))</f>
        <v/>
      </c>
      <c r="M25" s="54">
        <f>IF(AND(H25&gt;=D25,H25&gt;=0),"P",IF(D25&gt;=0,"N","O"))</f>
        <v/>
      </c>
      <c r="N25" s="55">
        <f>IF(AND(I25&gt;=D25,I25&gt;=0),"P",IF(D25&gt;=0,"N","O"))</f>
        <v/>
      </c>
    </row>
    <row r="26" ht="21" customHeight="1">
      <c r="A26" s="18" t="n">
        <v>24</v>
      </c>
      <c r="B26" s="43">
        <f>MAX('Q1 WTP data'!B27:E27,'Q1 WTP data'!G27)</f>
        <v/>
      </c>
      <c r="C26" s="45">
        <f>'Q1 WTP data'!F27</f>
        <v/>
      </c>
      <c r="D26" s="48">
        <f>B26-D$2</f>
        <v/>
      </c>
      <c r="E26" s="49">
        <f>C26-E$2</f>
        <v/>
      </c>
      <c r="F26" s="49">
        <f>C26-F$2</f>
        <v/>
      </c>
      <c r="G26" s="49">
        <f>C26-G$2</f>
        <v/>
      </c>
      <c r="H26" s="49">
        <f>C26-H$2</f>
        <v/>
      </c>
      <c r="I26" s="49">
        <f>C26-I$2</f>
        <v/>
      </c>
      <c r="J26" s="53">
        <f>IF(AND(E26&gt;=D26,E26&gt;=0),"P",IF(D26&gt;=0,"N","O"))</f>
        <v/>
      </c>
      <c r="K26" s="54">
        <f>IF(AND(F26&gt;=D26,F26&gt;=0),"P",IF(D26&gt;=0,"N","O"))</f>
        <v/>
      </c>
      <c r="L26" s="54">
        <f>IF(AND(G26&gt;=D26,G26&gt;=0),"P",IF(D26&gt;=0,"N","O"))</f>
        <v/>
      </c>
      <c r="M26" s="54">
        <f>IF(AND(H26&gt;=D26,H26&gt;=0),"P",IF(D26&gt;=0,"N","O"))</f>
        <v/>
      </c>
      <c r="N26" s="55">
        <f>IF(AND(I26&gt;=D26,I26&gt;=0),"P",IF(D26&gt;=0,"N","O"))</f>
        <v/>
      </c>
    </row>
    <row r="27" ht="21" customHeight="1">
      <c r="A27" s="18" t="n">
        <v>25</v>
      </c>
      <c r="B27" s="43">
        <f>MAX('Q1 WTP data'!B28:E28,'Q1 WTP data'!G28)</f>
        <v/>
      </c>
      <c r="C27" s="45">
        <f>'Q1 WTP data'!F28</f>
        <v/>
      </c>
      <c r="D27" s="48">
        <f>B27-D$2</f>
        <v/>
      </c>
      <c r="E27" s="49">
        <f>C27-E$2</f>
        <v/>
      </c>
      <c r="F27" s="49">
        <f>C27-F$2</f>
        <v/>
      </c>
      <c r="G27" s="49">
        <f>C27-G$2</f>
        <v/>
      </c>
      <c r="H27" s="49">
        <f>C27-H$2</f>
        <v/>
      </c>
      <c r="I27" s="49">
        <f>C27-I$2</f>
        <v/>
      </c>
      <c r="J27" s="53">
        <f>IF(AND(E27&gt;=D27,E27&gt;=0),"P",IF(D27&gt;=0,"N","O"))</f>
        <v/>
      </c>
      <c r="K27" s="54">
        <f>IF(AND(F27&gt;=D27,F27&gt;=0),"P",IF(D27&gt;=0,"N","O"))</f>
        <v/>
      </c>
      <c r="L27" s="54">
        <f>IF(AND(G27&gt;=D27,G27&gt;=0),"P",IF(D27&gt;=0,"N","O"))</f>
        <v/>
      </c>
      <c r="M27" s="54">
        <f>IF(AND(H27&gt;=D27,H27&gt;=0),"P",IF(D27&gt;=0,"N","O"))</f>
        <v/>
      </c>
      <c r="N27" s="55">
        <f>IF(AND(I27&gt;=D27,I27&gt;=0),"P",IF(D27&gt;=0,"N","O"))</f>
        <v/>
      </c>
    </row>
    <row r="28" ht="21" customHeight="1">
      <c r="A28" s="18" t="n">
        <v>26</v>
      </c>
      <c r="B28" s="43">
        <f>MAX('Q1 WTP data'!B29:E29,'Q1 WTP data'!G29)</f>
        <v/>
      </c>
      <c r="C28" s="45">
        <f>'Q1 WTP data'!F29</f>
        <v/>
      </c>
      <c r="D28" s="48">
        <f>B28-D$2</f>
        <v/>
      </c>
      <c r="E28" s="49">
        <f>C28-E$2</f>
        <v/>
      </c>
      <c r="F28" s="49">
        <f>C28-F$2</f>
        <v/>
      </c>
      <c r="G28" s="49">
        <f>C28-G$2</f>
        <v/>
      </c>
      <c r="H28" s="49">
        <f>C28-H$2</f>
        <v/>
      </c>
      <c r="I28" s="49">
        <f>C28-I$2</f>
        <v/>
      </c>
      <c r="J28" s="53">
        <f>IF(AND(E28&gt;=D28,E28&gt;=0),"P",IF(D28&gt;=0,"N","O"))</f>
        <v/>
      </c>
      <c r="K28" s="54">
        <f>IF(AND(F28&gt;=D28,F28&gt;=0),"P",IF(D28&gt;=0,"N","O"))</f>
        <v/>
      </c>
      <c r="L28" s="54">
        <f>IF(AND(G28&gt;=D28,G28&gt;=0),"P",IF(D28&gt;=0,"N","O"))</f>
        <v/>
      </c>
      <c r="M28" s="54">
        <f>IF(AND(H28&gt;=D28,H28&gt;=0),"P",IF(D28&gt;=0,"N","O"))</f>
        <v/>
      </c>
      <c r="N28" s="55">
        <f>IF(AND(I28&gt;=D28,I28&gt;=0),"P",IF(D28&gt;=0,"N","O"))</f>
        <v/>
      </c>
    </row>
    <row r="29" ht="21" customHeight="1">
      <c r="A29" s="18" t="n">
        <v>27</v>
      </c>
      <c r="B29" s="43">
        <f>MAX('Q1 WTP data'!B30:E30,'Q1 WTP data'!G30)</f>
        <v/>
      </c>
      <c r="C29" s="45">
        <f>'Q1 WTP data'!F30</f>
        <v/>
      </c>
      <c r="D29" s="48">
        <f>B29-D$2</f>
        <v/>
      </c>
      <c r="E29" s="49">
        <f>C29-E$2</f>
        <v/>
      </c>
      <c r="F29" s="49">
        <f>C29-F$2</f>
        <v/>
      </c>
      <c r="G29" s="49">
        <f>C29-G$2</f>
        <v/>
      </c>
      <c r="H29" s="49">
        <f>C29-H$2</f>
        <v/>
      </c>
      <c r="I29" s="49">
        <f>C29-I$2</f>
        <v/>
      </c>
      <c r="J29" s="53">
        <f>IF(AND(E29&gt;=D29,E29&gt;=0),"P",IF(D29&gt;=0,"N","O"))</f>
        <v/>
      </c>
      <c r="K29" s="54">
        <f>IF(AND(F29&gt;=D29,F29&gt;=0),"P",IF(D29&gt;=0,"N","O"))</f>
        <v/>
      </c>
      <c r="L29" s="54">
        <f>IF(AND(G29&gt;=D29,G29&gt;=0),"P",IF(D29&gt;=0,"N","O"))</f>
        <v/>
      </c>
      <c r="M29" s="54">
        <f>IF(AND(H29&gt;=D29,H29&gt;=0),"P",IF(D29&gt;=0,"N","O"))</f>
        <v/>
      </c>
      <c r="N29" s="55">
        <f>IF(AND(I29&gt;=D29,I29&gt;=0),"P",IF(D29&gt;=0,"N","O"))</f>
        <v/>
      </c>
    </row>
    <row r="30" ht="21" customHeight="1">
      <c r="A30" s="18" t="n">
        <v>28</v>
      </c>
      <c r="B30" s="43">
        <f>MAX('Q1 WTP data'!B31:E31,'Q1 WTP data'!G31)</f>
        <v/>
      </c>
      <c r="C30" s="45">
        <f>'Q1 WTP data'!F31</f>
        <v/>
      </c>
      <c r="D30" s="48">
        <f>B30-D$2</f>
        <v/>
      </c>
      <c r="E30" s="49">
        <f>C30-E$2</f>
        <v/>
      </c>
      <c r="F30" s="49">
        <f>C30-F$2</f>
        <v/>
      </c>
      <c r="G30" s="49">
        <f>C30-G$2</f>
        <v/>
      </c>
      <c r="H30" s="49">
        <f>C30-H$2</f>
        <v/>
      </c>
      <c r="I30" s="49">
        <f>C30-I$2</f>
        <v/>
      </c>
      <c r="J30" s="53">
        <f>IF(AND(E30&gt;=D30,E30&gt;=0),"P",IF(D30&gt;=0,"N","O"))</f>
        <v/>
      </c>
      <c r="K30" s="54">
        <f>IF(AND(F30&gt;=D30,F30&gt;=0),"P",IF(D30&gt;=0,"N","O"))</f>
        <v/>
      </c>
      <c r="L30" s="54">
        <f>IF(AND(G30&gt;=D30,G30&gt;=0),"P",IF(D30&gt;=0,"N","O"))</f>
        <v/>
      </c>
      <c r="M30" s="54">
        <f>IF(AND(H30&gt;=D30,H30&gt;=0),"P",IF(D30&gt;=0,"N","O"))</f>
        <v/>
      </c>
      <c r="N30" s="55">
        <f>IF(AND(I30&gt;=D30,I30&gt;=0),"P",IF(D30&gt;=0,"N","O"))</f>
        <v/>
      </c>
    </row>
    <row r="31" ht="21" customHeight="1">
      <c r="A31" s="18" t="n">
        <v>29</v>
      </c>
      <c r="B31" s="43">
        <f>MAX('Q1 WTP data'!B32:E32,'Q1 WTP data'!G32)</f>
        <v/>
      </c>
      <c r="C31" s="45">
        <f>'Q1 WTP data'!F32</f>
        <v/>
      </c>
      <c r="D31" s="48">
        <f>B31-D$2</f>
        <v/>
      </c>
      <c r="E31" s="49">
        <f>C31-E$2</f>
        <v/>
      </c>
      <c r="F31" s="49">
        <f>C31-F$2</f>
        <v/>
      </c>
      <c r="G31" s="49">
        <f>C31-G$2</f>
        <v/>
      </c>
      <c r="H31" s="49">
        <f>C31-H$2</f>
        <v/>
      </c>
      <c r="I31" s="49">
        <f>C31-I$2</f>
        <v/>
      </c>
      <c r="J31" s="53">
        <f>IF(AND(E31&gt;=D31,E31&gt;=0),"P",IF(D31&gt;=0,"N","O"))</f>
        <v/>
      </c>
      <c r="K31" s="54">
        <f>IF(AND(F31&gt;=D31,F31&gt;=0),"P",IF(D31&gt;=0,"N","O"))</f>
        <v/>
      </c>
      <c r="L31" s="54">
        <f>IF(AND(G31&gt;=D31,G31&gt;=0),"P",IF(D31&gt;=0,"N","O"))</f>
        <v/>
      </c>
      <c r="M31" s="54">
        <f>IF(AND(H31&gt;=D31,H31&gt;=0),"P",IF(D31&gt;=0,"N","O"))</f>
        <v/>
      </c>
      <c r="N31" s="55">
        <f>IF(AND(I31&gt;=D31,I31&gt;=0),"P",IF(D31&gt;=0,"N","O"))</f>
        <v/>
      </c>
    </row>
    <row r="32" ht="21" customHeight="1">
      <c r="A32" s="18" t="n">
        <v>30</v>
      </c>
      <c r="B32" s="43">
        <f>MAX('Q1 WTP data'!B33:E33,'Q1 WTP data'!G33)</f>
        <v/>
      </c>
      <c r="C32" s="45">
        <f>'Q1 WTP data'!F33</f>
        <v/>
      </c>
      <c r="D32" s="48">
        <f>B32-D$2</f>
        <v/>
      </c>
      <c r="E32" s="49">
        <f>C32-E$2</f>
        <v/>
      </c>
      <c r="F32" s="49">
        <f>C32-F$2</f>
        <v/>
      </c>
      <c r="G32" s="49">
        <f>C32-G$2</f>
        <v/>
      </c>
      <c r="H32" s="49">
        <f>C32-H$2</f>
        <v/>
      </c>
      <c r="I32" s="49">
        <f>C32-I$2</f>
        <v/>
      </c>
      <c r="J32" s="53">
        <f>IF(AND(E32&gt;=D32,E32&gt;=0),"P",IF(D32&gt;=0,"N","O"))</f>
        <v/>
      </c>
      <c r="K32" s="54">
        <f>IF(AND(F32&gt;=D32,F32&gt;=0),"P",IF(D32&gt;=0,"N","O"))</f>
        <v/>
      </c>
      <c r="L32" s="54">
        <f>IF(AND(G32&gt;=D32,G32&gt;=0),"P",IF(D32&gt;=0,"N","O"))</f>
        <v/>
      </c>
      <c r="M32" s="54">
        <f>IF(AND(H32&gt;=D32,H32&gt;=0),"P",IF(D32&gt;=0,"N","O"))</f>
        <v/>
      </c>
      <c r="N32" s="55">
        <f>IF(AND(I32&gt;=D32,I32&gt;=0),"P",IF(D32&gt;=0,"N","O"))</f>
        <v/>
      </c>
    </row>
    <row r="33" ht="21" customHeight="1">
      <c r="A33" s="18" t="n">
        <v>31</v>
      </c>
      <c r="B33" s="43">
        <f>MAX('Q1 WTP data'!B34:E34,'Q1 WTP data'!G34)</f>
        <v/>
      </c>
      <c r="C33" s="45">
        <f>'Q1 WTP data'!F34</f>
        <v/>
      </c>
      <c r="D33" s="48">
        <f>B33-D$2</f>
        <v/>
      </c>
      <c r="E33" s="49">
        <f>C33-E$2</f>
        <v/>
      </c>
      <c r="F33" s="49">
        <f>C33-F$2</f>
        <v/>
      </c>
      <c r="G33" s="49">
        <f>C33-G$2</f>
        <v/>
      </c>
      <c r="H33" s="49">
        <f>C33-H$2</f>
        <v/>
      </c>
      <c r="I33" s="49">
        <f>C33-I$2</f>
        <v/>
      </c>
      <c r="J33" s="53">
        <f>IF(AND(E33&gt;=D33,E33&gt;=0),"P",IF(D33&gt;=0,"N","O"))</f>
        <v/>
      </c>
      <c r="K33" s="54">
        <f>IF(AND(F33&gt;=D33,F33&gt;=0),"P",IF(D33&gt;=0,"N","O"))</f>
        <v/>
      </c>
      <c r="L33" s="54">
        <f>IF(AND(G33&gt;=D33,G33&gt;=0),"P",IF(D33&gt;=0,"N","O"))</f>
        <v/>
      </c>
      <c r="M33" s="54">
        <f>IF(AND(H33&gt;=D33,H33&gt;=0),"P",IF(D33&gt;=0,"N","O"))</f>
        <v/>
      </c>
      <c r="N33" s="55">
        <f>IF(AND(I33&gt;=D33,I33&gt;=0),"P",IF(D33&gt;=0,"N","O"))</f>
        <v/>
      </c>
    </row>
    <row r="34" ht="21" customHeight="1">
      <c r="A34" s="18" t="n">
        <v>32</v>
      </c>
      <c r="B34" s="43">
        <f>MAX('Q1 WTP data'!B35:E35,'Q1 WTP data'!G35)</f>
        <v/>
      </c>
      <c r="C34" s="45">
        <f>'Q1 WTP data'!F35</f>
        <v/>
      </c>
      <c r="D34" s="48">
        <f>B34-D$2</f>
        <v/>
      </c>
      <c r="E34" s="49">
        <f>C34-E$2</f>
        <v/>
      </c>
      <c r="F34" s="49">
        <f>C34-F$2</f>
        <v/>
      </c>
      <c r="G34" s="49">
        <f>C34-G$2</f>
        <v/>
      </c>
      <c r="H34" s="49">
        <f>C34-H$2</f>
        <v/>
      </c>
      <c r="I34" s="49">
        <f>C34-I$2</f>
        <v/>
      </c>
      <c r="J34" s="53">
        <f>IF(AND(E34&gt;=D34,E34&gt;=0),"P",IF(D34&gt;=0,"N","O"))</f>
        <v/>
      </c>
      <c r="K34" s="54">
        <f>IF(AND(F34&gt;=D34,F34&gt;=0),"P",IF(D34&gt;=0,"N","O"))</f>
        <v/>
      </c>
      <c r="L34" s="54">
        <f>IF(AND(G34&gt;=D34,G34&gt;=0),"P",IF(D34&gt;=0,"N","O"))</f>
        <v/>
      </c>
      <c r="M34" s="54">
        <f>IF(AND(H34&gt;=D34,H34&gt;=0),"P",IF(D34&gt;=0,"N","O"))</f>
        <v/>
      </c>
      <c r="N34" s="55">
        <f>IF(AND(I34&gt;=D34,I34&gt;=0),"P",IF(D34&gt;=0,"N","O"))</f>
        <v/>
      </c>
    </row>
    <row r="35" ht="21" customHeight="1">
      <c r="A35" s="18" t="n">
        <v>33</v>
      </c>
      <c r="B35" s="43">
        <f>MAX('Q1 WTP data'!B36:E36,'Q1 WTP data'!G36)</f>
        <v/>
      </c>
      <c r="C35" s="45">
        <f>'Q1 WTP data'!F36</f>
        <v/>
      </c>
      <c r="D35" s="48">
        <f>B35-D$2</f>
        <v/>
      </c>
      <c r="E35" s="49">
        <f>C35-E$2</f>
        <v/>
      </c>
      <c r="F35" s="49">
        <f>C35-F$2</f>
        <v/>
      </c>
      <c r="G35" s="49">
        <f>C35-G$2</f>
        <v/>
      </c>
      <c r="H35" s="49">
        <f>C35-H$2</f>
        <v/>
      </c>
      <c r="I35" s="49">
        <f>C35-I$2</f>
        <v/>
      </c>
      <c r="J35" s="53">
        <f>IF(AND(E35&gt;=D35,E35&gt;=0),"P",IF(D35&gt;=0,"N","O"))</f>
        <v/>
      </c>
      <c r="K35" s="54">
        <f>IF(AND(F35&gt;=D35,F35&gt;=0),"P",IF(D35&gt;=0,"N","O"))</f>
        <v/>
      </c>
      <c r="L35" s="54">
        <f>IF(AND(G35&gt;=D35,G35&gt;=0),"P",IF(D35&gt;=0,"N","O"))</f>
        <v/>
      </c>
      <c r="M35" s="54">
        <f>IF(AND(H35&gt;=D35,H35&gt;=0),"P",IF(D35&gt;=0,"N","O"))</f>
        <v/>
      </c>
      <c r="N35" s="55">
        <f>IF(AND(I35&gt;=D35,I35&gt;=0),"P",IF(D35&gt;=0,"N","O"))</f>
        <v/>
      </c>
    </row>
    <row r="36" ht="21" customHeight="1">
      <c r="A36" s="18" t="n">
        <v>34</v>
      </c>
      <c r="B36" s="43">
        <f>MAX('Q1 WTP data'!B37:E37,'Q1 WTP data'!G37)</f>
        <v/>
      </c>
      <c r="C36" s="45">
        <f>'Q1 WTP data'!F37</f>
        <v/>
      </c>
      <c r="D36" s="48">
        <f>B36-D$2</f>
        <v/>
      </c>
      <c r="E36" s="49">
        <f>C36-E$2</f>
        <v/>
      </c>
      <c r="F36" s="49">
        <f>C36-F$2</f>
        <v/>
      </c>
      <c r="G36" s="49">
        <f>C36-G$2</f>
        <v/>
      </c>
      <c r="H36" s="49">
        <f>C36-H$2</f>
        <v/>
      </c>
      <c r="I36" s="49">
        <f>C36-I$2</f>
        <v/>
      </c>
      <c r="J36" s="53">
        <f>IF(AND(E36&gt;=D36,E36&gt;=0),"P",IF(D36&gt;=0,"N","O"))</f>
        <v/>
      </c>
      <c r="K36" s="54">
        <f>IF(AND(F36&gt;=D36,F36&gt;=0),"P",IF(D36&gt;=0,"N","O"))</f>
        <v/>
      </c>
      <c r="L36" s="54">
        <f>IF(AND(G36&gt;=D36,G36&gt;=0),"P",IF(D36&gt;=0,"N","O"))</f>
        <v/>
      </c>
      <c r="M36" s="54">
        <f>IF(AND(H36&gt;=D36,H36&gt;=0),"P",IF(D36&gt;=0,"N","O"))</f>
        <v/>
      </c>
      <c r="N36" s="55">
        <f>IF(AND(I36&gt;=D36,I36&gt;=0),"P",IF(D36&gt;=0,"N","O"))</f>
        <v/>
      </c>
    </row>
    <row r="37" ht="21" customHeight="1">
      <c r="A37" s="18" t="n">
        <v>35</v>
      </c>
      <c r="B37" s="43">
        <f>MAX('Q1 WTP data'!B38:E38,'Q1 WTP data'!G38)</f>
        <v/>
      </c>
      <c r="C37" s="45">
        <f>'Q1 WTP data'!F38</f>
        <v/>
      </c>
      <c r="D37" s="48">
        <f>B37-D$2</f>
        <v/>
      </c>
      <c r="E37" s="49">
        <f>C37-E$2</f>
        <v/>
      </c>
      <c r="F37" s="49">
        <f>C37-F$2</f>
        <v/>
      </c>
      <c r="G37" s="49">
        <f>C37-G$2</f>
        <v/>
      </c>
      <c r="H37" s="49">
        <f>C37-H$2</f>
        <v/>
      </c>
      <c r="I37" s="49">
        <f>C37-I$2</f>
        <v/>
      </c>
      <c r="J37" s="53">
        <f>IF(AND(E37&gt;=D37,E37&gt;=0),"P",IF(D37&gt;=0,"N","O"))</f>
        <v/>
      </c>
      <c r="K37" s="54">
        <f>IF(AND(F37&gt;=D37,F37&gt;=0),"P",IF(D37&gt;=0,"N","O"))</f>
        <v/>
      </c>
      <c r="L37" s="54">
        <f>IF(AND(G37&gt;=D37,G37&gt;=0),"P",IF(D37&gt;=0,"N","O"))</f>
        <v/>
      </c>
      <c r="M37" s="54">
        <f>IF(AND(H37&gt;=D37,H37&gt;=0),"P",IF(D37&gt;=0,"N","O"))</f>
        <v/>
      </c>
      <c r="N37" s="55">
        <f>IF(AND(I37&gt;=D37,I37&gt;=0),"P",IF(D37&gt;=0,"N","O"))</f>
        <v/>
      </c>
    </row>
    <row r="38" ht="21" customHeight="1">
      <c r="A38" s="18" t="n">
        <v>36</v>
      </c>
      <c r="B38" s="43">
        <f>MAX('Q1 WTP data'!B39:E39,'Q1 WTP data'!G39)</f>
        <v/>
      </c>
      <c r="C38" s="45">
        <f>'Q1 WTP data'!F39</f>
        <v/>
      </c>
      <c r="D38" s="48">
        <f>B38-D$2</f>
        <v/>
      </c>
      <c r="E38" s="49">
        <f>C38-E$2</f>
        <v/>
      </c>
      <c r="F38" s="49">
        <f>C38-F$2</f>
        <v/>
      </c>
      <c r="G38" s="49">
        <f>C38-G$2</f>
        <v/>
      </c>
      <c r="H38" s="49">
        <f>C38-H$2</f>
        <v/>
      </c>
      <c r="I38" s="49">
        <f>C38-I$2</f>
        <v/>
      </c>
      <c r="J38" s="53">
        <f>IF(AND(E38&gt;=D38,E38&gt;=0),"P",IF(D38&gt;=0,"N","O"))</f>
        <v/>
      </c>
      <c r="K38" s="54">
        <f>IF(AND(F38&gt;=D38,F38&gt;=0),"P",IF(D38&gt;=0,"N","O"))</f>
        <v/>
      </c>
      <c r="L38" s="54">
        <f>IF(AND(G38&gt;=D38,G38&gt;=0),"P",IF(D38&gt;=0,"N","O"))</f>
        <v/>
      </c>
      <c r="M38" s="54">
        <f>IF(AND(H38&gt;=D38,H38&gt;=0),"P",IF(D38&gt;=0,"N","O"))</f>
        <v/>
      </c>
      <c r="N38" s="55">
        <f>IF(AND(I38&gt;=D38,I38&gt;=0),"P",IF(D38&gt;=0,"N","O"))</f>
        <v/>
      </c>
    </row>
    <row r="39" ht="21" customHeight="1">
      <c r="A39" s="18" t="n">
        <v>37</v>
      </c>
      <c r="B39" s="43">
        <f>MAX('Q1 WTP data'!B40:E40,'Q1 WTP data'!G40)</f>
        <v/>
      </c>
      <c r="C39" s="45">
        <f>'Q1 WTP data'!F40</f>
        <v/>
      </c>
      <c r="D39" s="48">
        <f>B39-D$2</f>
        <v/>
      </c>
      <c r="E39" s="49">
        <f>C39-E$2</f>
        <v/>
      </c>
      <c r="F39" s="49">
        <f>C39-F$2</f>
        <v/>
      </c>
      <c r="G39" s="49">
        <f>C39-G$2</f>
        <v/>
      </c>
      <c r="H39" s="49">
        <f>C39-H$2</f>
        <v/>
      </c>
      <c r="I39" s="49">
        <f>C39-I$2</f>
        <v/>
      </c>
      <c r="J39" s="53">
        <f>IF(AND(E39&gt;=D39,E39&gt;=0),"P",IF(D39&gt;=0,"N","O"))</f>
        <v/>
      </c>
      <c r="K39" s="54">
        <f>IF(AND(F39&gt;=D39,F39&gt;=0),"P",IF(D39&gt;=0,"N","O"))</f>
        <v/>
      </c>
      <c r="L39" s="54">
        <f>IF(AND(G39&gt;=D39,G39&gt;=0),"P",IF(D39&gt;=0,"N","O"))</f>
        <v/>
      </c>
      <c r="M39" s="54">
        <f>IF(AND(H39&gt;=D39,H39&gt;=0),"P",IF(D39&gt;=0,"N","O"))</f>
        <v/>
      </c>
      <c r="N39" s="55">
        <f>IF(AND(I39&gt;=D39,I39&gt;=0),"P",IF(D39&gt;=0,"N","O"))</f>
        <v/>
      </c>
    </row>
    <row r="40" ht="21" customHeight="1">
      <c r="A40" s="18" t="n">
        <v>38</v>
      </c>
      <c r="B40" s="43">
        <f>MAX('Q1 WTP data'!B41:E41,'Q1 WTP data'!G41)</f>
        <v/>
      </c>
      <c r="C40" s="45">
        <f>'Q1 WTP data'!F41</f>
        <v/>
      </c>
      <c r="D40" s="48">
        <f>B40-D$2</f>
        <v/>
      </c>
      <c r="E40" s="49">
        <f>C40-E$2</f>
        <v/>
      </c>
      <c r="F40" s="49">
        <f>C40-F$2</f>
        <v/>
      </c>
      <c r="G40" s="49">
        <f>C40-G$2</f>
        <v/>
      </c>
      <c r="H40" s="49">
        <f>C40-H$2</f>
        <v/>
      </c>
      <c r="I40" s="49">
        <f>C40-I$2</f>
        <v/>
      </c>
      <c r="J40" s="53">
        <f>IF(AND(E40&gt;=D40,E40&gt;=0),"P",IF(D40&gt;=0,"N","O"))</f>
        <v/>
      </c>
      <c r="K40" s="54">
        <f>IF(AND(F40&gt;=D40,F40&gt;=0),"P",IF(D40&gt;=0,"N","O"))</f>
        <v/>
      </c>
      <c r="L40" s="54">
        <f>IF(AND(G40&gt;=D40,G40&gt;=0),"P",IF(D40&gt;=0,"N","O"))</f>
        <v/>
      </c>
      <c r="M40" s="54">
        <f>IF(AND(H40&gt;=D40,H40&gt;=0),"P",IF(D40&gt;=0,"N","O"))</f>
        <v/>
      </c>
      <c r="N40" s="55">
        <f>IF(AND(I40&gt;=D40,I40&gt;=0),"P",IF(D40&gt;=0,"N","O"))</f>
        <v/>
      </c>
    </row>
    <row r="41" ht="21" customHeight="1">
      <c r="A41" s="18" t="n">
        <v>39</v>
      </c>
      <c r="B41" s="43">
        <f>MAX('Q1 WTP data'!B42:E42,'Q1 WTP data'!G42)</f>
        <v/>
      </c>
      <c r="C41" s="45">
        <f>'Q1 WTP data'!F42</f>
        <v/>
      </c>
      <c r="D41" s="48">
        <f>B41-D$2</f>
        <v/>
      </c>
      <c r="E41" s="49">
        <f>C41-E$2</f>
        <v/>
      </c>
      <c r="F41" s="49">
        <f>C41-F$2</f>
        <v/>
      </c>
      <c r="G41" s="49">
        <f>C41-G$2</f>
        <v/>
      </c>
      <c r="H41" s="49">
        <f>C41-H$2</f>
        <v/>
      </c>
      <c r="I41" s="49">
        <f>C41-I$2</f>
        <v/>
      </c>
      <c r="J41" s="53">
        <f>IF(AND(E41&gt;=D41,E41&gt;=0),"P",IF(D41&gt;=0,"N","O"))</f>
        <v/>
      </c>
      <c r="K41" s="54">
        <f>IF(AND(F41&gt;=D41,F41&gt;=0),"P",IF(D41&gt;=0,"N","O"))</f>
        <v/>
      </c>
      <c r="L41" s="54">
        <f>IF(AND(G41&gt;=D41,G41&gt;=0),"P",IF(D41&gt;=0,"N","O"))</f>
        <v/>
      </c>
      <c r="M41" s="54">
        <f>IF(AND(H41&gt;=D41,H41&gt;=0),"P",IF(D41&gt;=0,"N","O"))</f>
        <v/>
      </c>
      <c r="N41" s="55">
        <f>IF(AND(I41&gt;=D41,I41&gt;=0),"P",IF(D41&gt;=0,"N","O"))</f>
        <v/>
      </c>
    </row>
    <row r="42" ht="21" customHeight="1">
      <c r="A42" s="18" t="n">
        <v>40</v>
      </c>
      <c r="B42" s="43">
        <f>MAX('Q1 WTP data'!B43:E43,'Q1 WTP data'!G43)</f>
        <v/>
      </c>
      <c r="C42" s="45">
        <f>'Q1 WTP data'!F43</f>
        <v/>
      </c>
      <c r="D42" s="48">
        <f>B42-D$2</f>
        <v/>
      </c>
      <c r="E42" s="49">
        <f>C42-E$2</f>
        <v/>
      </c>
      <c r="F42" s="49">
        <f>C42-F$2</f>
        <v/>
      </c>
      <c r="G42" s="49">
        <f>C42-G$2</f>
        <v/>
      </c>
      <c r="H42" s="49">
        <f>C42-H$2</f>
        <v/>
      </c>
      <c r="I42" s="49">
        <f>C42-I$2</f>
        <v/>
      </c>
      <c r="J42" s="53">
        <f>IF(AND(E42&gt;=D42,E42&gt;=0),"P",IF(D42&gt;=0,"N","O"))</f>
        <v/>
      </c>
      <c r="K42" s="54">
        <f>IF(AND(F42&gt;=D42,F42&gt;=0),"P",IF(D42&gt;=0,"N","O"))</f>
        <v/>
      </c>
      <c r="L42" s="54">
        <f>IF(AND(G42&gt;=D42,G42&gt;=0),"P",IF(D42&gt;=0,"N","O"))</f>
        <v/>
      </c>
      <c r="M42" s="54">
        <f>IF(AND(H42&gt;=D42,H42&gt;=0),"P",IF(D42&gt;=0,"N","O"))</f>
        <v/>
      </c>
      <c r="N42" s="55">
        <f>IF(AND(I42&gt;=D42,I42&gt;=0),"P",IF(D42&gt;=0,"N","O"))</f>
        <v/>
      </c>
    </row>
    <row r="43" ht="21" customHeight="1">
      <c r="A43" s="18" t="n">
        <v>41</v>
      </c>
      <c r="B43" s="43">
        <f>MAX('Q1 WTP data'!B44:E44,'Q1 WTP data'!G44)</f>
        <v/>
      </c>
      <c r="C43" s="45">
        <f>'Q1 WTP data'!F44</f>
        <v/>
      </c>
      <c r="D43" s="48">
        <f>B43-D$2</f>
        <v/>
      </c>
      <c r="E43" s="49">
        <f>C43-E$2</f>
        <v/>
      </c>
      <c r="F43" s="49">
        <f>C43-F$2</f>
        <v/>
      </c>
      <c r="G43" s="49">
        <f>C43-G$2</f>
        <v/>
      </c>
      <c r="H43" s="49">
        <f>C43-H$2</f>
        <v/>
      </c>
      <c r="I43" s="49">
        <f>C43-I$2</f>
        <v/>
      </c>
      <c r="J43" s="53">
        <f>IF(AND(E43&gt;=D43,E43&gt;=0),"P",IF(D43&gt;=0,"N","O"))</f>
        <v/>
      </c>
      <c r="K43" s="54">
        <f>IF(AND(F43&gt;=D43,F43&gt;=0),"P",IF(D43&gt;=0,"N","O"))</f>
        <v/>
      </c>
      <c r="L43" s="54">
        <f>IF(AND(G43&gt;=D43,G43&gt;=0),"P",IF(D43&gt;=0,"N","O"))</f>
        <v/>
      </c>
      <c r="M43" s="54">
        <f>IF(AND(H43&gt;=D43,H43&gt;=0),"P",IF(D43&gt;=0,"N","O"))</f>
        <v/>
      </c>
      <c r="N43" s="55">
        <f>IF(AND(I43&gt;=D43,I43&gt;=0),"P",IF(D43&gt;=0,"N","O"))</f>
        <v/>
      </c>
    </row>
    <row r="44" ht="21" customHeight="1">
      <c r="A44" s="18" t="n">
        <v>42</v>
      </c>
      <c r="B44" s="43">
        <f>MAX('Q1 WTP data'!B45:E45,'Q1 WTP data'!G45)</f>
        <v/>
      </c>
      <c r="C44" s="45">
        <f>'Q1 WTP data'!F45</f>
        <v/>
      </c>
      <c r="D44" s="48">
        <f>B44-D$2</f>
        <v/>
      </c>
      <c r="E44" s="49">
        <f>C44-E$2</f>
        <v/>
      </c>
      <c r="F44" s="49">
        <f>C44-F$2</f>
        <v/>
      </c>
      <c r="G44" s="49">
        <f>C44-G$2</f>
        <v/>
      </c>
      <c r="H44" s="49">
        <f>C44-H$2</f>
        <v/>
      </c>
      <c r="I44" s="49">
        <f>C44-I$2</f>
        <v/>
      </c>
      <c r="J44" s="53">
        <f>IF(AND(E44&gt;=D44,E44&gt;=0),"P",IF(D44&gt;=0,"N","O"))</f>
        <v/>
      </c>
      <c r="K44" s="54">
        <f>IF(AND(F44&gt;=D44,F44&gt;=0),"P",IF(D44&gt;=0,"N","O"))</f>
        <v/>
      </c>
      <c r="L44" s="54">
        <f>IF(AND(G44&gt;=D44,G44&gt;=0),"P",IF(D44&gt;=0,"N","O"))</f>
        <v/>
      </c>
      <c r="M44" s="54">
        <f>IF(AND(H44&gt;=D44,H44&gt;=0),"P",IF(D44&gt;=0,"N","O"))</f>
        <v/>
      </c>
      <c r="N44" s="55">
        <f>IF(AND(I44&gt;=D44,I44&gt;=0),"P",IF(D44&gt;=0,"N","O"))</f>
        <v/>
      </c>
    </row>
    <row r="45" ht="21" customHeight="1">
      <c r="A45" s="18" t="n">
        <v>43</v>
      </c>
      <c r="B45" s="43">
        <f>MAX('Q1 WTP data'!B46:E46,'Q1 WTP data'!G46)</f>
        <v/>
      </c>
      <c r="C45" s="45">
        <f>'Q1 WTP data'!F46</f>
        <v/>
      </c>
      <c r="D45" s="48">
        <f>B45-D$2</f>
        <v/>
      </c>
      <c r="E45" s="49">
        <f>C45-E$2</f>
        <v/>
      </c>
      <c r="F45" s="49">
        <f>C45-F$2</f>
        <v/>
      </c>
      <c r="G45" s="49">
        <f>C45-G$2</f>
        <v/>
      </c>
      <c r="H45" s="49">
        <f>C45-H$2</f>
        <v/>
      </c>
      <c r="I45" s="49">
        <f>C45-I$2</f>
        <v/>
      </c>
      <c r="J45" s="53">
        <f>IF(AND(E45&gt;=D45,E45&gt;=0),"P",IF(D45&gt;=0,"N","O"))</f>
        <v/>
      </c>
      <c r="K45" s="54">
        <f>IF(AND(F45&gt;=D45,F45&gt;=0),"P",IF(D45&gt;=0,"N","O"))</f>
        <v/>
      </c>
      <c r="L45" s="54">
        <f>IF(AND(G45&gt;=D45,G45&gt;=0),"P",IF(D45&gt;=0,"N","O"))</f>
        <v/>
      </c>
      <c r="M45" s="54">
        <f>IF(AND(H45&gt;=D45,H45&gt;=0),"P",IF(D45&gt;=0,"N","O"))</f>
        <v/>
      </c>
      <c r="N45" s="55">
        <f>IF(AND(I45&gt;=D45,I45&gt;=0),"P",IF(D45&gt;=0,"N","O"))</f>
        <v/>
      </c>
    </row>
    <row r="46" ht="21" customHeight="1">
      <c r="A46" s="18" t="n">
        <v>44</v>
      </c>
      <c r="B46" s="43">
        <f>MAX('Q1 WTP data'!B47:E47,'Q1 WTP data'!G47)</f>
        <v/>
      </c>
      <c r="C46" s="45">
        <f>'Q1 WTP data'!F47</f>
        <v/>
      </c>
      <c r="D46" s="48">
        <f>B46-D$2</f>
        <v/>
      </c>
      <c r="E46" s="49">
        <f>C46-E$2</f>
        <v/>
      </c>
      <c r="F46" s="49">
        <f>C46-F$2</f>
        <v/>
      </c>
      <c r="G46" s="49">
        <f>C46-G$2</f>
        <v/>
      </c>
      <c r="H46" s="49">
        <f>C46-H$2</f>
        <v/>
      </c>
      <c r="I46" s="49">
        <f>C46-I$2</f>
        <v/>
      </c>
      <c r="J46" s="53">
        <f>IF(AND(E46&gt;=D46,E46&gt;=0),"P",IF(D46&gt;=0,"N","O"))</f>
        <v/>
      </c>
      <c r="K46" s="54">
        <f>IF(AND(F46&gt;=D46,F46&gt;=0),"P",IF(D46&gt;=0,"N","O"))</f>
        <v/>
      </c>
      <c r="L46" s="54">
        <f>IF(AND(G46&gt;=D46,G46&gt;=0),"P",IF(D46&gt;=0,"N","O"))</f>
        <v/>
      </c>
      <c r="M46" s="54">
        <f>IF(AND(H46&gt;=D46,H46&gt;=0),"P",IF(D46&gt;=0,"N","O"))</f>
        <v/>
      </c>
      <c r="N46" s="55">
        <f>IF(AND(I46&gt;=D46,I46&gt;=0),"P",IF(D46&gt;=0,"N","O"))</f>
        <v/>
      </c>
    </row>
    <row r="47" ht="21" customHeight="1">
      <c r="A47" s="18" t="n">
        <v>45</v>
      </c>
      <c r="B47" s="43">
        <f>MAX('Q1 WTP data'!B48:E48,'Q1 WTP data'!G48)</f>
        <v/>
      </c>
      <c r="C47" s="45">
        <f>'Q1 WTP data'!F48</f>
        <v/>
      </c>
      <c r="D47" s="48">
        <f>B47-D$2</f>
        <v/>
      </c>
      <c r="E47" s="49">
        <f>C47-E$2</f>
        <v/>
      </c>
      <c r="F47" s="49">
        <f>C47-F$2</f>
        <v/>
      </c>
      <c r="G47" s="49">
        <f>C47-G$2</f>
        <v/>
      </c>
      <c r="H47" s="49">
        <f>C47-H$2</f>
        <v/>
      </c>
      <c r="I47" s="49">
        <f>C47-I$2</f>
        <v/>
      </c>
      <c r="J47" s="53">
        <f>IF(AND(E47&gt;=D47,E47&gt;=0),"P",IF(D47&gt;=0,"N","O"))</f>
        <v/>
      </c>
      <c r="K47" s="54">
        <f>IF(AND(F47&gt;=D47,F47&gt;=0),"P",IF(D47&gt;=0,"N","O"))</f>
        <v/>
      </c>
      <c r="L47" s="54">
        <f>IF(AND(G47&gt;=D47,G47&gt;=0),"P",IF(D47&gt;=0,"N","O"))</f>
        <v/>
      </c>
      <c r="M47" s="54">
        <f>IF(AND(H47&gt;=D47,H47&gt;=0),"P",IF(D47&gt;=0,"N","O"))</f>
        <v/>
      </c>
      <c r="N47" s="55">
        <f>IF(AND(I47&gt;=D47,I47&gt;=0),"P",IF(D47&gt;=0,"N","O"))</f>
        <v/>
      </c>
    </row>
    <row r="48" ht="21" customHeight="1">
      <c r="A48" s="18" t="n">
        <v>46</v>
      </c>
      <c r="B48" s="43">
        <f>MAX('Q1 WTP data'!B49:E49,'Q1 WTP data'!G49)</f>
        <v/>
      </c>
      <c r="C48" s="45">
        <f>'Q1 WTP data'!F49</f>
        <v/>
      </c>
      <c r="D48" s="48">
        <f>B48-D$2</f>
        <v/>
      </c>
      <c r="E48" s="49">
        <f>C48-E$2</f>
        <v/>
      </c>
      <c r="F48" s="49">
        <f>C48-F$2</f>
        <v/>
      </c>
      <c r="G48" s="49">
        <f>C48-G$2</f>
        <v/>
      </c>
      <c r="H48" s="49">
        <f>C48-H$2</f>
        <v/>
      </c>
      <c r="I48" s="49">
        <f>C48-I$2</f>
        <v/>
      </c>
      <c r="J48" s="53">
        <f>IF(AND(E48&gt;=D48,E48&gt;=0),"P",IF(D48&gt;=0,"N","O"))</f>
        <v/>
      </c>
      <c r="K48" s="54">
        <f>IF(AND(F48&gt;=D48,F48&gt;=0),"P",IF(D48&gt;=0,"N","O"))</f>
        <v/>
      </c>
      <c r="L48" s="54">
        <f>IF(AND(G48&gt;=D48,G48&gt;=0),"P",IF(D48&gt;=0,"N","O"))</f>
        <v/>
      </c>
      <c r="M48" s="54">
        <f>IF(AND(H48&gt;=D48,H48&gt;=0),"P",IF(D48&gt;=0,"N","O"))</f>
        <v/>
      </c>
      <c r="N48" s="55">
        <f>IF(AND(I48&gt;=D48,I48&gt;=0),"P",IF(D48&gt;=0,"N","O"))</f>
        <v/>
      </c>
    </row>
    <row r="49" ht="21" customHeight="1">
      <c r="A49" s="18" t="n">
        <v>47</v>
      </c>
      <c r="B49" s="43">
        <f>MAX('Q1 WTP data'!B50:E50,'Q1 WTP data'!G50)</f>
        <v/>
      </c>
      <c r="C49" s="45">
        <f>'Q1 WTP data'!F50</f>
        <v/>
      </c>
      <c r="D49" s="48">
        <f>B49-D$2</f>
        <v/>
      </c>
      <c r="E49" s="49">
        <f>C49-E$2</f>
        <v/>
      </c>
      <c r="F49" s="49">
        <f>C49-F$2</f>
        <v/>
      </c>
      <c r="G49" s="49">
        <f>C49-G$2</f>
        <v/>
      </c>
      <c r="H49" s="49">
        <f>C49-H$2</f>
        <v/>
      </c>
      <c r="I49" s="49">
        <f>C49-I$2</f>
        <v/>
      </c>
      <c r="J49" s="53">
        <f>IF(AND(E49&gt;=D49,E49&gt;=0),"P",IF(D49&gt;=0,"N","O"))</f>
        <v/>
      </c>
      <c r="K49" s="54">
        <f>IF(AND(F49&gt;=D49,F49&gt;=0),"P",IF(D49&gt;=0,"N","O"))</f>
        <v/>
      </c>
      <c r="L49" s="54">
        <f>IF(AND(G49&gt;=D49,G49&gt;=0),"P",IF(D49&gt;=0,"N","O"))</f>
        <v/>
      </c>
      <c r="M49" s="54">
        <f>IF(AND(H49&gt;=D49,H49&gt;=0),"P",IF(D49&gt;=0,"N","O"))</f>
        <v/>
      </c>
      <c r="N49" s="55">
        <f>IF(AND(I49&gt;=D49,I49&gt;=0),"P",IF(D49&gt;=0,"N","O"))</f>
        <v/>
      </c>
    </row>
    <row r="50" ht="21" customHeight="1">
      <c r="A50" s="18" t="n">
        <v>48</v>
      </c>
      <c r="B50" s="43">
        <f>MAX('Q1 WTP data'!B51:E51,'Q1 WTP data'!G51)</f>
        <v/>
      </c>
      <c r="C50" s="45">
        <f>'Q1 WTP data'!F51</f>
        <v/>
      </c>
      <c r="D50" s="48">
        <f>B50-D$2</f>
        <v/>
      </c>
      <c r="E50" s="49">
        <f>C50-E$2</f>
        <v/>
      </c>
      <c r="F50" s="49">
        <f>C50-F$2</f>
        <v/>
      </c>
      <c r="G50" s="49">
        <f>C50-G$2</f>
        <v/>
      </c>
      <c r="H50" s="49">
        <f>C50-H$2</f>
        <v/>
      </c>
      <c r="I50" s="49">
        <f>C50-I$2</f>
        <v/>
      </c>
      <c r="J50" s="53">
        <f>IF(AND(E50&gt;=D50,E50&gt;=0),"P",IF(D50&gt;=0,"N","O"))</f>
        <v/>
      </c>
      <c r="K50" s="54">
        <f>IF(AND(F50&gt;=D50,F50&gt;=0),"P",IF(D50&gt;=0,"N","O"))</f>
        <v/>
      </c>
      <c r="L50" s="54">
        <f>IF(AND(G50&gt;=D50,G50&gt;=0),"P",IF(D50&gt;=0,"N","O"))</f>
        <v/>
      </c>
      <c r="M50" s="54">
        <f>IF(AND(H50&gt;=D50,H50&gt;=0),"P",IF(D50&gt;=0,"N","O"))</f>
        <v/>
      </c>
      <c r="N50" s="55">
        <f>IF(AND(I50&gt;=D50,I50&gt;=0),"P",IF(D50&gt;=0,"N","O"))</f>
        <v/>
      </c>
    </row>
    <row r="51" ht="21" customHeight="1">
      <c r="A51" s="18" t="n">
        <v>49</v>
      </c>
      <c r="B51" s="43">
        <f>MAX('Q1 WTP data'!B52:E52,'Q1 WTP data'!G52)</f>
        <v/>
      </c>
      <c r="C51" s="45">
        <f>'Q1 WTP data'!F52</f>
        <v/>
      </c>
      <c r="D51" s="48">
        <f>B51-D$2</f>
        <v/>
      </c>
      <c r="E51" s="49">
        <f>C51-E$2</f>
        <v/>
      </c>
      <c r="F51" s="49">
        <f>C51-F$2</f>
        <v/>
      </c>
      <c r="G51" s="49">
        <f>C51-G$2</f>
        <v/>
      </c>
      <c r="H51" s="49">
        <f>C51-H$2</f>
        <v/>
      </c>
      <c r="I51" s="49">
        <f>C51-I$2</f>
        <v/>
      </c>
      <c r="J51" s="53">
        <f>IF(AND(E51&gt;=D51,E51&gt;=0),"P",IF(D51&gt;=0,"N","O"))</f>
        <v/>
      </c>
      <c r="K51" s="54">
        <f>IF(AND(F51&gt;=D51,F51&gt;=0),"P",IF(D51&gt;=0,"N","O"))</f>
        <v/>
      </c>
      <c r="L51" s="54">
        <f>IF(AND(G51&gt;=D51,G51&gt;=0),"P",IF(D51&gt;=0,"N","O"))</f>
        <v/>
      </c>
      <c r="M51" s="54">
        <f>IF(AND(H51&gt;=D51,H51&gt;=0),"P",IF(D51&gt;=0,"N","O"))</f>
        <v/>
      </c>
      <c r="N51" s="55">
        <f>IF(AND(I51&gt;=D51,I51&gt;=0),"P",IF(D51&gt;=0,"N","O"))</f>
        <v/>
      </c>
    </row>
    <row r="52" ht="21" customHeight="1">
      <c r="A52" s="18" t="n">
        <v>50</v>
      </c>
      <c r="B52" s="43">
        <f>MAX('Q1 WTP data'!B53:E53,'Q1 WTP data'!G53)</f>
        <v/>
      </c>
      <c r="C52" s="45">
        <f>'Q1 WTP data'!F53</f>
        <v/>
      </c>
      <c r="D52" s="48">
        <f>B52-D$2</f>
        <v/>
      </c>
      <c r="E52" s="49">
        <f>C52-E$2</f>
        <v/>
      </c>
      <c r="F52" s="49">
        <f>C52-F$2</f>
        <v/>
      </c>
      <c r="G52" s="49">
        <f>C52-G$2</f>
        <v/>
      </c>
      <c r="H52" s="49">
        <f>C52-H$2</f>
        <v/>
      </c>
      <c r="I52" s="49">
        <f>C52-I$2</f>
        <v/>
      </c>
      <c r="J52" s="53">
        <f>IF(AND(E52&gt;=D52,E52&gt;=0),"P",IF(D52&gt;=0,"N","O"))</f>
        <v/>
      </c>
      <c r="K52" s="54">
        <f>IF(AND(F52&gt;=D52,F52&gt;=0),"P",IF(D52&gt;=0,"N","O"))</f>
        <v/>
      </c>
      <c r="L52" s="54">
        <f>IF(AND(G52&gt;=D52,G52&gt;=0),"P",IF(D52&gt;=0,"N","O"))</f>
        <v/>
      </c>
      <c r="M52" s="54">
        <f>IF(AND(H52&gt;=D52,H52&gt;=0),"P",IF(D52&gt;=0,"N","O"))</f>
        <v/>
      </c>
      <c r="N52" s="55">
        <f>IF(AND(I52&gt;=D52,I52&gt;=0),"P",IF(D52&gt;=0,"N","O"))</f>
        <v/>
      </c>
    </row>
    <row r="53" ht="21" customHeight="1">
      <c r="A53" s="18" t="n">
        <v>51</v>
      </c>
      <c r="B53" s="43">
        <f>MAX('Q1 WTP data'!B54:E54,'Q1 WTP data'!G54)</f>
        <v/>
      </c>
      <c r="C53" s="45">
        <f>'Q1 WTP data'!F54</f>
        <v/>
      </c>
      <c r="D53" s="48">
        <f>B53-D$2</f>
        <v/>
      </c>
      <c r="E53" s="49">
        <f>C53-E$2</f>
        <v/>
      </c>
      <c r="F53" s="49">
        <f>C53-F$2</f>
        <v/>
      </c>
      <c r="G53" s="49">
        <f>C53-G$2</f>
        <v/>
      </c>
      <c r="H53" s="49">
        <f>C53-H$2</f>
        <v/>
      </c>
      <c r="I53" s="49">
        <f>C53-I$2</f>
        <v/>
      </c>
      <c r="J53" s="53">
        <f>IF(AND(E53&gt;=D53,E53&gt;=0),"P",IF(D53&gt;=0,"N","O"))</f>
        <v/>
      </c>
      <c r="K53" s="54">
        <f>IF(AND(F53&gt;=D53,F53&gt;=0),"P",IF(D53&gt;=0,"N","O"))</f>
        <v/>
      </c>
      <c r="L53" s="54">
        <f>IF(AND(G53&gt;=D53,G53&gt;=0),"P",IF(D53&gt;=0,"N","O"))</f>
        <v/>
      </c>
      <c r="M53" s="54">
        <f>IF(AND(H53&gt;=D53,H53&gt;=0),"P",IF(D53&gt;=0,"N","O"))</f>
        <v/>
      </c>
      <c r="N53" s="55">
        <f>IF(AND(I53&gt;=D53,I53&gt;=0),"P",IF(D53&gt;=0,"N","O"))</f>
        <v/>
      </c>
    </row>
    <row r="54" ht="21" customHeight="1">
      <c r="A54" s="18" t="n">
        <v>52</v>
      </c>
      <c r="B54" s="43">
        <f>MAX('Q1 WTP data'!B55:E55,'Q1 WTP data'!G55)</f>
        <v/>
      </c>
      <c r="C54" s="45">
        <f>'Q1 WTP data'!F55</f>
        <v/>
      </c>
      <c r="D54" s="48">
        <f>B54-D$2</f>
        <v/>
      </c>
      <c r="E54" s="49">
        <f>C54-E$2</f>
        <v/>
      </c>
      <c r="F54" s="49">
        <f>C54-F$2</f>
        <v/>
      </c>
      <c r="G54" s="49">
        <f>C54-G$2</f>
        <v/>
      </c>
      <c r="H54" s="49">
        <f>C54-H$2</f>
        <v/>
      </c>
      <c r="I54" s="49">
        <f>C54-I$2</f>
        <v/>
      </c>
      <c r="J54" s="53">
        <f>IF(AND(E54&gt;=D54,E54&gt;=0),"P",IF(D54&gt;=0,"N","O"))</f>
        <v/>
      </c>
      <c r="K54" s="54">
        <f>IF(AND(F54&gt;=D54,F54&gt;=0),"P",IF(D54&gt;=0,"N","O"))</f>
        <v/>
      </c>
      <c r="L54" s="54">
        <f>IF(AND(G54&gt;=D54,G54&gt;=0),"P",IF(D54&gt;=0,"N","O"))</f>
        <v/>
      </c>
      <c r="M54" s="54">
        <f>IF(AND(H54&gt;=D54,H54&gt;=0),"P",IF(D54&gt;=0,"N","O"))</f>
        <v/>
      </c>
      <c r="N54" s="55">
        <f>IF(AND(I54&gt;=D54,I54&gt;=0),"P",IF(D54&gt;=0,"N","O"))</f>
        <v/>
      </c>
    </row>
    <row r="55" ht="21" customHeight="1">
      <c r="A55" s="18" t="n">
        <v>53</v>
      </c>
      <c r="B55" s="43">
        <f>MAX('Q1 WTP data'!B56:E56,'Q1 WTP data'!G56)</f>
        <v/>
      </c>
      <c r="C55" s="45">
        <f>'Q1 WTP data'!F56</f>
        <v/>
      </c>
      <c r="D55" s="48">
        <f>B55-D$2</f>
        <v/>
      </c>
      <c r="E55" s="49">
        <f>C55-E$2</f>
        <v/>
      </c>
      <c r="F55" s="49">
        <f>C55-F$2</f>
        <v/>
      </c>
      <c r="G55" s="49">
        <f>C55-G$2</f>
        <v/>
      </c>
      <c r="H55" s="49">
        <f>C55-H$2</f>
        <v/>
      </c>
      <c r="I55" s="49">
        <f>C55-I$2</f>
        <v/>
      </c>
      <c r="J55" s="53">
        <f>IF(AND(E55&gt;=D55,E55&gt;=0),"P",IF(D55&gt;=0,"N","O"))</f>
        <v/>
      </c>
      <c r="K55" s="54">
        <f>IF(AND(F55&gt;=D55,F55&gt;=0),"P",IF(D55&gt;=0,"N","O"))</f>
        <v/>
      </c>
      <c r="L55" s="54">
        <f>IF(AND(G55&gt;=D55,G55&gt;=0),"P",IF(D55&gt;=0,"N","O"))</f>
        <v/>
      </c>
      <c r="M55" s="54">
        <f>IF(AND(H55&gt;=D55,H55&gt;=0),"P",IF(D55&gt;=0,"N","O"))</f>
        <v/>
      </c>
      <c r="N55" s="55">
        <f>IF(AND(I55&gt;=D55,I55&gt;=0),"P",IF(D55&gt;=0,"N","O"))</f>
        <v/>
      </c>
    </row>
    <row r="56" ht="21" customHeight="1">
      <c r="A56" s="18" t="n">
        <v>54</v>
      </c>
      <c r="B56" s="43">
        <f>MAX('Q1 WTP data'!B57:E57,'Q1 WTP data'!G57)</f>
        <v/>
      </c>
      <c r="C56" s="45">
        <f>'Q1 WTP data'!F57</f>
        <v/>
      </c>
      <c r="D56" s="48">
        <f>B56-D$2</f>
        <v/>
      </c>
      <c r="E56" s="49">
        <f>C56-E$2</f>
        <v/>
      </c>
      <c r="F56" s="49">
        <f>C56-F$2</f>
        <v/>
      </c>
      <c r="G56" s="49">
        <f>C56-G$2</f>
        <v/>
      </c>
      <c r="H56" s="49">
        <f>C56-H$2</f>
        <v/>
      </c>
      <c r="I56" s="49">
        <f>C56-I$2</f>
        <v/>
      </c>
      <c r="J56" s="53">
        <f>IF(AND(E56&gt;=D56,E56&gt;=0),"P",IF(D56&gt;=0,"N","O"))</f>
        <v/>
      </c>
      <c r="K56" s="54">
        <f>IF(AND(F56&gt;=D56,F56&gt;=0),"P",IF(D56&gt;=0,"N","O"))</f>
        <v/>
      </c>
      <c r="L56" s="54">
        <f>IF(AND(G56&gt;=D56,G56&gt;=0),"P",IF(D56&gt;=0,"N","O"))</f>
        <v/>
      </c>
      <c r="M56" s="54">
        <f>IF(AND(H56&gt;=D56,H56&gt;=0),"P",IF(D56&gt;=0,"N","O"))</f>
        <v/>
      </c>
      <c r="N56" s="55">
        <f>IF(AND(I56&gt;=D56,I56&gt;=0),"P",IF(D56&gt;=0,"N","O"))</f>
        <v/>
      </c>
    </row>
    <row r="57" ht="21" customHeight="1">
      <c r="A57" s="18" t="n">
        <v>55</v>
      </c>
      <c r="B57" s="43">
        <f>MAX('Q1 WTP data'!B58:E58,'Q1 WTP data'!G58)</f>
        <v/>
      </c>
      <c r="C57" s="45">
        <f>'Q1 WTP data'!F58</f>
        <v/>
      </c>
      <c r="D57" s="48">
        <f>B57-D$2</f>
        <v/>
      </c>
      <c r="E57" s="49">
        <f>C57-E$2</f>
        <v/>
      </c>
      <c r="F57" s="49">
        <f>C57-F$2</f>
        <v/>
      </c>
      <c r="G57" s="49">
        <f>C57-G$2</f>
        <v/>
      </c>
      <c r="H57" s="49">
        <f>C57-H$2</f>
        <v/>
      </c>
      <c r="I57" s="49">
        <f>C57-I$2</f>
        <v/>
      </c>
      <c r="J57" s="53">
        <f>IF(AND(E57&gt;=D57,E57&gt;=0),"P",IF(D57&gt;=0,"N","O"))</f>
        <v/>
      </c>
      <c r="K57" s="54">
        <f>IF(AND(F57&gt;=D57,F57&gt;=0),"P",IF(D57&gt;=0,"N","O"))</f>
        <v/>
      </c>
      <c r="L57" s="54">
        <f>IF(AND(G57&gt;=D57,G57&gt;=0),"P",IF(D57&gt;=0,"N","O"))</f>
        <v/>
      </c>
      <c r="M57" s="54">
        <f>IF(AND(H57&gt;=D57,H57&gt;=0),"P",IF(D57&gt;=0,"N","O"))</f>
        <v/>
      </c>
      <c r="N57" s="55">
        <f>IF(AND(I57&gt;=D57,I57&gt;=0),"P",IF(D57&gt;=0,"N","O"))</f>
        <v/>
      </c>
    </row>
    <row r="58" ht="21" customHeight="1">
      <c r="A58" s="18" t="n">
        <v>56</v>
      </c>
      <c r="B58" s="43">
        <f>MAX('Q1 WTP data'!B59:E59,'Q1 WTP data'!G59)</f>
        <v/>
      </c>
      <c r="C58" s="45">
        <f>'Q1 WTP data'!F59</f>
        <v/>
      </c>
      <c r="D58" s="48">
        <f>B58-D$2</f>
        <v/>
      </c>
      <c r="E58" s="49">
        <f>C58-E$2</f>
        <v/>
      </c>
      <c r="F58" s="49">
        <f>C58-F$2</f>
        <v/>
      </c>
      <c r="G58" s="49">
        <f>C58-G$2</f>
        <v/>
      </c>
      <c r="H58" s="49">
        <f>C58-H$2</f>
        <v/>
      </c>
      <c r="I58" s="49">
        <f>C58-I$2</f>
        <v/>
      </c>
      <c r="J58" s="53">
        <f>IF(AND(E58&gt;=D58,E58&gt;=0),"P",IF(D58&gt;=0,"N","O"))</f>
        <v/>
      </c>
      <c r="K58" s="54">
        <f>IF(AND(F58&gt;=D58,F58&gt;=0),"P",IF(D58&gt;=0,"N","O"))</f>
        <v/>
      </c>
      <c r="L58" s="54">
        <f>IF(AND(G58&gt;=D58,G58&gt;=0),"P",IF(D58&gt;=0,"N","O"))</f>
        <v/>
      </c>
      <c r="M58" s="54">
        <f>IF(AND(H58&gt;=D58,H58&gt;=0),"P",IF(D58&gt;=0,"N","O"))</f>
        <v/>
      </c>
      <c r="N58" s="55">
        <f>IF(AND(I58&gt;=D58,I58&gt;=0),"P",IF(D58&gt;=0,"N","O"))</f>
        <v/>
      </c>
    </row>
    <row r="59" ht="21" customHeight="1">
      <c r="A59" s="18" t="n">
        <v>57</v>
      </c>
      <c r="B59" s="43">
        <f>MAX('Q1 WTP data'!B60:E60,'Q1 WTP data'!G60)</f>
        <v/>
      </c>
      <c r="C59" s="45">
        <f>'Q1 WTP data'!F60</f>
        <v/>
      </c>
      <c r="D59" s="48">
        <f>B59-D$2</f>
        <v/>
      </c>
      <c r="E59" s="49">
        <f>C59-E$2</f>
        <v/>
      </c>
      <c r="F59" s="49">
        <f>C59-F$2</f>
        <v/>
      </c>
      <c r="G59" s="49">
        <f>C59-G$2</f>
        <v/>
      </c>
      <c r="H59" s="49">
        <f>C59-H$2</f>
        <v/>
      </c>
      <c r="I59" s="49">
        <f>C59-I$2</f>
        <v/>
      </c>
      <c r="J59" s="53">
        <f>IF(AND(E59&gt;=D59,E59&gt;=0),"P",IF(D59&gt;=0,"N","O"))</f>
        <v/>
      </c>
      <c r="K59" s="54">
        <f>IF(AND(F59&gt;=D59,F59&gt;=0),"P",IF(D59&gt;=0,"N","O"))</f>
        <v/>
      </c>
      <c r="L59" s="54">
        <f>IF(AND(G59&gt;=D59,G59&gt;=0),"P",IF(D59&gt;=0,"N","O"))</f>
        <v/>
      </c>
      <c r="M59" s="54">
        <f>IF(AND(H59&gt;=D59,H59&gt;=0),"P",IF(D59&gt;=0,"N","O"))</f>
        <v/>
      </c>
      <c r="N59" s="55">
        <f>IF(AND(I59&gt;=D59,I59&gt;=0),"P",IF(D59&gt;=0,"N","O"))</f>
        <v/>
      </c>
    </row>
    <row r="60" ht="21" customHeight="1">
      <c r="A60" s="18" t="n">
        <v>58</v>
      </c>
      <c r="B60" s="43">
        <f>MAX('Q1 WTP data'!B61:E61,'Q1 WTP data'!G61)</f>
        <v/>
      </c>
      <c r="C60" s="45">
        <f>'Q1 WTP data'!F61</f>
        <v/>
      </c>
      <c r="D60" s="48">
        <f>B60-D$2</f>
        <v/>
      </c>
      <c r="E60" s="49">
        <f>C60-E$2</f>
        <v/>
      </c>
      <c r="F60" s="49">
        <f>C60-F$2</f>
        <v/>
      </c>
      <c r="G60" s="49">
        <f>C60-G$2</f>
        <v/>
      </c>
      <c r="H60" s="49">
        <f>C60-H$2</f>
        <v/>
      </c>
      <c r="I60" s="49">
        <f>C60-I$2</f>
        <v/>
      </c>
      <c r="J60" s="53">
        <f>IF(AND(E60&gt;=D60,E60&gt;=0),"P",IF(D60&gt;=0,"N","O"))</f>
        <v/>
      </c>
      <c r="K60" s="54">
        <f>IF(AND(F60&gt;=D60,F60&gt;=0),"P",IF(D60&gt;=0,"N","O"))</f>
        <v/>
      </c>
      <c r="L60" s="54">
        <f>IF(AND(G60&gt;=D60,G60&gt;=0),"P",IF(D60&gt;=0,"N","O"))</f>
        <v/>
      </c>
      <c r="M60" s="54">
        <f>IF(AND(H60&gt;=D60,H60&gt;=0),"P",IF(D60&gt;=0,"N","O"))</f>
        <v/>
      </c>
      <c r="N60" s="55">
        <f>IF(AND(I60&gt;=D60,I60&gt;=0),"P",IF(D60&gt;=0,"N","O"))</f>
        <v/>
      </c>
    </row>
    <row r="61" ht="21" customHeight="1">
      <c r="A61" s="18" t="n">
        <v>59</v>
      </c>
      <c r="B61" s="43">
        <f>MAX('Q1 WTP data'!B62:E62,'Q1 WTP data'!G62)</f>
        <v/>
      </c>
      <c r="C61" s="45">
        <f>'Q1 WTP data'!F62</f>
        <v/>
      </c>
      <c r="D61" s="48">
        <f>B61-D$2</f>
        <v/>
      </c>
      <c r="E61" s="49">
        <f>C61-E$2</f>
        <v/>
      </c>
      <c r="F61" s="49">
        <f>C61-F$2</f>
        <v/>
      </c>
      <c r="G61" s="49">
        <f>C61-G$2</f>
        <v/>
      </c>
      <c r="H61" s="49">
        <f>C61-H$2</f>
        <v/>
      </c>
      <c r="I61" s="49">
        <f>C61-I$2</f>
        <v/>
      </c>
      <c r="J61" s="53">
        <f>IF(AND(E61&gt;=D61,E61&gt;=0),"P",IF(D61&gt;=0,"N","O"))</f>
        <v/>
      </c>
      <c r="K61" s="54">
        <f>IF(AND(F61&gt;=D61,F61&gt;=0),"P",IF(D61&gt;=0,"N","O"))</f>
        <v/>
      </c>
      <c r="L61" s="54">
        <f>IF(AND(G61&gt;=D61,G61&gt;=0),"P",IF(D61&gt;=0,"N","O"))</f>
        <v/>
      </c>
      <c r="M61" s="54">
        <f>IF(AND(H61&gt;=D61,H61&gt;=0),"P",IF(D61&gt;=0,"N","O"))</f>
        <v/>
      </c>
      <c r="N61" s="55">
        <f>IF(AND(I61&gt;=D61,I61&gt;=0),"P",IF(D61&gt;=0,"N","O"))</f>
        <v/>
      </c>
    </row>
    <row r="62" ht="21" customHeight="1">
      <c r="A62" s="18" t="n">
        <v>60</v>
      </c>
      <c r="B62" s="43">
        <f>MAX('Q1 WTP data'!B63:E63,'Q1 WTP data'!G63)</f>
        <v/>
      </c>
      <c r="C62" s="45">
        <f>'Q1 WTP data'!F63</f>
        <v/>
      </c>
      <c r="D62" s="48">
        <f>B62-D$2</f>
        <v/>
      </c>
      <c r="E62" s="49">
        <f>C62-E$2</f>
        <v/>
      </c>
      <c r="F62" s="49">
        <f>C62-F$2</f>
        <v/>
      </c>
      <c r="G62" s="49">
        <f>C62-G$2</f>
        <v/>
      </c>
      <c r="H62" s="49">
        <f>C62-H$2</f>
        <v/>
      </c>
      <c r="I62" s="49">
        <f>C62-I$2</f>
        <v/>
      </c>
      <c r="J62" s="53">
        <f>IF(AND(E62&gt;=D62,E62&gt;=0),"P",IF(D62&gt;=0,"N","O"))</f>
        <v/>
      </c>
      <c r="K62" s="54">
        <f>IF(AND(F62&gt;=D62,F62&gt;=0),"P",IF(D62&gt;=0,"N","O"))</f>
        <v/>
      </c>
      <c r="L62" s="54">
        <f>IF(AND(G62&gt;=D62,G62&gt;=0),"P",IF(D62&gt;=0,"N","O"))</f>
        <v/>
      </c>
      <c r="M62" s="54">
        <f>IF(AND(H62&gt;=D62,H62&gt;=0),"P",IF(D62&gt;=0,"N","O"))</f>
        <v/>
      </c>
      <c r="N62" s="55">
        <f>IF(AND(I62&gt;=D62,I62&gt;=0),"P",IF(D62&gt;=0,"N","O"))</f>
        <v/>
      </c>
    </row>
    <row r="63" ht="21" customHeight="1">
      <c r="A63" s="18" t="n">
        <v>61</v>
      </c>
      <c r="B63" s="43">
        <f>MAX('Q1 WTP data'!B64:E64,'Q1 WTP data'!G64)</f>
        <v/>
      </c>
      <c r="C63" s="45">
        <f>'Q1 WTP data'!F64</f>
        <v/>
      </c>
      <c r="D63" s="48">
        <f>B63-D$2</f>
        <v/>
      </c>
      <c r="E63" s="49">
        <f>C63-E$2</f>
        <v/>
      </c>
      <c r="F63" s="49">
        <f>C63-F$2</f>
        <v/>
      </c>
      <c r="G63" s="49">
        <f>C63-G$2</f>
        <v/>
      </c>
      <c r="H63" s="49">
        <f>C63-H$2</f>
        <v/>
      </c>
      <c r="I63" s="49">
        <f>C63-I$2</f>
        <v/>
      </c>
      <c r="J63" s="53">
        <f>IF(AND(E63&gt;=D63,E63&gt;=0),"P",IF(D63&gt;=0,"N","O"))</f>
        <v/>
      </c>
      <c r="K63" s="54">
        <f>IF(AND(F63&gt;=D63,F63&gt;=0),"P",IF(D63&gt;=0,"N","O"))</f>
        <v/>
      </c>
      <c r="L63" s="54">
        <f>IF(AND(G63&gt;=D63,G63&gt;=0),"P",IF(D63&gt;=0,"N","O"))</f>
        <v/>
      </c>
      <c r="M63" s="54">
        <f>IF(AND(H63&gt;=D63,H63&gt;=0),"P",IF(D63&gt;=0,"N","O"))</f>
        <v/>
      </c>
      <c r="N63" s="55">
        <f>IF(AND(I63&gt;=D63,I63&gt;=0),"P",IF(D63&gt;=0,"N","O"))</f>
        <v/>
      </c>
    </row>
    <row r="64" ht="21" customHeight="1">
      <c r="A64" s="18" t="n">
        <v>62</v>
      </c>
      <c r="B64" s="43">
        <f>MAX('Q1 WTP data'!B65:E65,'Q1 WTP data'!G65)</f>
        <v/>
      </c>
      <c r="C64" s="45">
        <f>'Q1 WTP data'!F65</f>
        <v/>
      </c>
      <c r="D64" s="48">
        <f>B64-D$2</f>
        <v/>
      </c>
      <c r="E64" s="49">
        <f>C64-E$2</f>
        <v/>
      </c>
      <c r="F64" s="49">
        <f>C64-F$2</f>
        <v/>
      </c>
      <c r="G64" s="49">
        <f>C64-G$2</f>
        <v/>
      </c>
      <c r="H64" s="49">
        <f>C64-H$2</f>
        <v/>
      </c>
      <c r="I64" s="49">
        <f>C64-I$2</f>
        <v/>
      </c>
      <c r="J64" s="53">
        <f>IF(AND(E64&gt;=D64,E64&gt;=0),"P",IF(D64&gt;=0,"N","O"))</f>
        <v/>
      </c>
      <c r="K64" s="54">
        <f>IF(AND(F64&gt;=D64,F64&gt;=0),"P",IF(D64&gt;=0,"N","O"))</f>
        <v/>
      </c>
      <c r="L64" s="54">
        <f>IF(AND(G64&gt;=D64,G64&gt;=0),"P",IF(D64&gt;=0,"N","O"))</f>
        <v/>
      </c>
      <c r="M64" s="54">
        <f>IF(AND(H64&gt;=D64,H64&gt;=0),"P",IF(D64&gt;=0,"N","O"))</f>
        <v/>
      </c>
      <c r="N64" s="55">
        <f>IF(AND(I64&gt;=D64,I64&gt;=0),"P",IF(D64&gt;=0,"N","O"))</f>
        <v/>
      </c>
    </row>
    <row r="65" ht="21" customHeight="1">
      <c r="A65" s="18" t="n">
        <v>63</v>
      </c>
      <c r="B65" s="43">
        <f>MAX('Q1 WTP data'!B66:E66,'Q1 WTP data'!G66)</f>
        <v/>
      </c>
      <c r="C65" s="45">
        <f>'Q1 WTP data'!F66</f>
        <v/>
      </c>
      <c r="D65" s="48">
        <f>B65-D$2</f>
        <v/>
      </c>
      <c r="E65" s="49">
        <f>C65-E$2</f>
        <v/>
      </c>
      <c r="F65" s="49">
        <f>C65-F$2</f>
        <v/>
      </c>
      <c r="G65" s="49">
        <f>C65-G$2</f>
        <v/>
      </c>
      <c r="H65" s="49">
        <f>C65-H$2</f>
        <v/>
      </c>
      <c r="I65" s="49">
        <f>C65-I$2</f>
        <v/>
      </c>
      <c r="J65" s="53">
        <f>IF(AND(E65&gt;=D65,E65&gt;=0),"P",IF(D65&gt;=0,"N","O"))</f>
        <v/>
      </c>
      <c r="K65" s="54">
        <f>IF(AND(F65&gt;=D65,F65&gt;=0),"P",IF(D65&gt;=0,"N","O"))</f>
        <v/>
      </c>
      <c r="L65" s="54">
        <f>IF(AND(G65&gt;=D65,G65&gt;=0),"P",IF(D65&gt;=0,"N","O"))</f>
        <v/>
      </c>
      <c r="M65" s="54">
        <f>IF(AND(H65&gt;=D65,H65&gt;=0),"P",IF(D65&gt;=0,"N","O"))</f>
        <v/>
      </c>
      <c r="N65" s="55">
        <f>IF(AND(I65&gt;=D65,I65&gt;=0),"P",IF(D65&gt;=0,"N","O"))</f>
        <v/>
      </c>
    </row>
    <row r="66" ht="21" customHeight="1">
      <c r="A66" s="18" t="n">
        <v>64</v>
      </c>
      <c r="B66" s="43">
        <f>MAX('Q1 WTP data'!B67:E67,'Q1 WTP data'!G67)</f>
        <v/>
      </c>
      <c r="C66" s="45">
        <f>'Q1 WTP data'!F67</f>
        <v/>
      </c>
      <c r="D66" s="48">
        <f>B66-D$2</f>
        <v/>
      </c>
      <c r="E66" s="49">
        <f>C66-E$2</f>
        <v/>
      </c>
      <c r="F66" s="49">
        <f>C66-F$2</f>
        <v/>
      </c>
      <c r="G66" s="49">
        <f>C66-G$2</f>
        <v/>
      </c>
      <c r="H66" s="49">
        <f>C66-H$2</f>
        <v/>
      </c>
      <c r="I66" s="49">
        <f>C66-I$2</f>
        <v/>
      </c>
      <c r="J66" s="53">
        <f>IF(AND(E66&gt;=D66,E66&gt;=0),"P",IF(D66&gt;=0,"N","O"))</f>
        <v/>
      </c>
      <c r="K66" s="54">
        <f>IF(AND(F66&gt;=D66,F66&gt;=0),"P",IF(D66&gt;=0,"N","O"))</f>
        <v/>
      </c>
      <c r="L66" s="54">
        <f>IF(AND(G66&gt;=D66,G66&gt;=0),"P",IF(D66&gt;=0,"N","O"))</f>
        <v/>
      </c>
      <c r="M66" s="54">
        <f>IF(AND(H66&gt;=D66,H66&gt;=0),"P",IF(D66&gt;=0,"N","O"))</f>
        <v/>
      </c>
      <c r="N66" s="55">
        <f>IF(AND(I66&gt;=D66,I66&gt;=0),"P",IF(D66&gt;=0,"N","O"))</f>
        <v/>
      </c>
    </row>
    <row r="67" ht="21" customHeight="1">
      <c r="A67" s="18" t="n">
        <v>65</v>
      </c>
      <c r="B67" s="43">
        <f>MAX('Q1 WTP data'!B68:E68,'Q1 WTP data'!G68)</f>
        <v/>
      </c>
      <c r="C67" s="45">
        <f>'Q1 WTP data'!F68</f>
        <v/>
      </c>
      <c r="D67" s="48">
        <f>B67-D$2</f>
        <v/>
      </c>
      <c r="E67" s="49">
        <f>C67-E$2</f>
        <v/>
      </c>
      <c r="F67" s="49">
        <f>C67-F$2</f>
        <v/>
      </c>
      <c r="G67" s="49">
        <f>C67-G$2</f>
        <v/>
      </c>
      <c r="H67" s="49">
        <f>C67-H$2</f>
        <v/>
      </c>
      <c r="I67" s="49">
        <f>C67-I$2</f>
        <v/>
      </c>
      <c r="J67" s="53">
        <f>IF(AND(E67&gt;=D67,E67&gt;=0),"P",IF(D67&gt;=0,"N","O"))</f>
        <v/>
      </c>
      <c r="K67" s="54">
        <f>IF(AND(F67&gt;=D67,F67&gt;=0),"P",IF(D67&gt;=0,"N","O"))</f>
        <v/>
      </c>
      <c r="L67" s="54">
        <f>IF(AND(G67&gt;=D67,G67&gt;=0),"P",IF(D67&gt;=0,"N","O"))</f>
        <v/>
      </c>
      <c r="M67" s="54">
        <f>IF(AND(H67&gt;=D67,H67&gt;=0),"P",IF(D67&gt;=0,"N","O"))</f>
        <v/>
      </c>
      <c r="N67" s="55">
        <f>IF(AND(I67&gt;=D67,I67&gt;=0),"P",IF(D67&gt;=0,"N","O"))</f>
        <v/>
      </c>
    </row>
    <row r="68" ht="21" customHeight="1">
      <c r="A68" s="18" t="n">
        <v>66</v>
      </c>
      <c r="B68" s="43">
        <f>MAX('Q1 WTP data'!B69:E69,'Q1 WTP data'!G69)</f>
        <v/>
      </c>
      <c r="C68" s="45">
        <f>'Q1 WTP data'!F69</f>
        <v/>
      </c>
      <c r="D68" s="48">
        <f>B68-D$2</f>
        <v/>
      </c>
      <c r="E68" s="49">
        <f>C68-E$2</f>
        <v/>
      </c>
      <c r="F68" s="49">
        <f>C68-F$2</f>
        <v/>
      </c>
      <c r="G68" s="49">
        <f>C68-G$2</f>
        <v/>
      </c>
      <c r="H68" s="49">
        <f>C68-H$2</f>
        <v/>
      </c>
      <c r="I68" s="49">
        <f>C68-I$2</f>
        <v/>
      </c>
      <c r="J68" s="53">
        <f>IF(AND(E68&gt;=D68,E68&gt;=0),"P",IF(D68&gt;=0,"N","O"))</f>
        <v/>
      </c>
      <c r="K68" s="54">
        <f>IF(AND(F68&gt;=D68,F68&gt;=0),"P",IF(D68&gt;=0,"N","O"))</f>
        <v/>
      </c>
      <c r="L68" s="54">
        <f>IF(AND(G68&gt;=D68,G68&gt;=0),"P",IF(D68&gt;=0,"N","O"))</f>
        <v/>
      </c>
      <c r="M68" s="54">
        <f>IF(AND(H68&gt;=D68,H68&gt;=0),"P",IF(D68&gt;=0,"N","O"))</f>
        <v/>
      </c>
      <c r="N68" s="55">
        <f>IF(AND(I68&gt;=D68,I68&gt;=0),"P",IF(D68&gt;=0,"N","O"))</f>
        <v/>
      </c>
    </row>
    <row r="69" ht="21" customHeight="1">
      <c r="A69" s="18" t="n">
        <v>67</v>
      </c>
      <c r="B69" s="43">
        <f>MAX('Q1 WTP data'!B70:E70,'Q1 WTP data'!G70)</f>
        <v/>
      </c>
      <c r="C69" s="45">
        <f>'Q1 WTP data'!F70</f>
        <v/>
      </c>
      <c r="D69" s="48">
        <f>B69-D$2</f>
        <v/>
      </c>
      <c r="E69" s="49">
        <f>C69-E$2</f>
        <v/>
      </c>
      <c r="F69" s="49">
        <f>C69-F$2</f>
        <v/>
      </c>
      <c r="G69" s="49">
        <f>C69-G$2</f>
        <v/>
      </c>
      <c r="H69" s="49">
        <f>C69-H$2</f>
        <v/>
      </c>
      <c r="I69" s="49">
        <f>C69-I$2</f>
        <v/>
      </c>
      <c r="J69" s="53">
        <f>IF(AND(E69&gt;=D69,E69&gt;=0),"P",IF(D69&gt;=0,"N","O"))</f>
        <v/>
      </c>
      <c r="K69" s="54">
        <f>IF(AND(F69&gt;=D69,F69&gt;=0),"P",IF(D69&gt;=0,"N","O"))</f>
        <v/>
      </c>
      <c r="L69" s="54">
        <f>IF(AND(G69&gt;=D69,G69&gt;=0),"P",IF(D69&gt;=0,"N","O"))</f>
        <v/>
      </c>
      <c r="M69" s="54">
        <f>IF(AND(H69&gt;=D69,H69&gt;=0),"P",IF(D69&gt;=0,"N","O"))</f>
        <v/>
      </c>
      <c r="N69" s="55">
        <f>IF(AND(I69&gt;=D69,I69&gt;=0),"P",IF(D69&gt;=0,"N","O"))</f>
        <v/>
      </c>
    </row>
    <row r="70" ht="21" customHeight="1">
      <c r="A70" s="18" t="n">
        <v>68</v>
      </c>
      <c r="B70" s="43">
        <f>MAX('Q1 WTP data'!B71:E71,'Q1 WTP data'!G71)</f>
        <v/>
      </c>
      <c r="C70" s="45">
        <f>'Q1 WTP data'!F71</f>
        <v/>
      </c>
      <c r="D70" s="48">
        <f>B70-D$2</f>
        <v/>
      </c>
      <c r="E70" s="49">
        <f>C70-E$2</f>
        <v/>
      </c>
      <c r="F70" s="49">
        <f>C70-F$2</f>
        <v/>
      </c>
      <c r="G70" s="49">
        <f>C70-G$2</f>
        <v/>
      </c>
      <c r="H70" s="49">
        <f>C70-H$2</f>
        <v/>
      </c>
      <c r="I70" s="49">
        <f>C70-I$2</f>
        <v/>
      </c>
      <c r="J70" s="53">
        <f>IF(AND(E70&gt;=D70,E70&gt;=0),"P",IF(D70&gt;=0,"N","O"))</f>
        <v/>
      </c>
      <c r="K70" s="54">
        <f>IF(AND(F70&gt;=D70,F70&gt;=0),"P",IF(D70&gt;=0,"N","O"))</f>
        <v/>
      </c>
      <c r="L70" s="54">
        <f>IF(AND(G70&gt;=D70,G70&gt;=0),"P",IF(D70&gt;=0,"N","O"))</f>
        <v/>
      </c>
      <c r="M70" s="54">
        <f>IF(AND(H70&gt;=D70,H70&gt;=0),"P",IF(D70&gt;=0,"N","O"))</f>
        <v/>
      </c>
      <c r="N70" s="55">
        <f>IF(AND(I70&gt;=D70,I70&gt;=0),"P",IF(D70&gt;=0,"N","O"))</f>
        <v/>
      </c>
    </row>
    <row r="71" ht="21" customHeight="1">
      <c r="A71" s="18" t="n">
        <v>69</v>
      </c>
      <c r="B71" s="43">
        <f>MAX('Q1 WTP data'!B72:E72,'Q1 WTP data'!G72)</f>
        <v/>
      </c>
      <c r="C71" s="45">
        <f>'Q1 WTP data'!F72</f>
        <v/>
      </c>
      <c r="D71" s="48">
        <f>B71-D$2</f>
        <v/>
      </c>
      <c r="E71" s="49">
        <f>C71-E$2</f>
        <v/>
      </c>
      <c r="F71" s="49">
        <f>C71-F$2</f>
        <v/>
      </c>
      <c r="G71" s="49">
        <f>C71-G$2</f>
        <v/>
      </c>
      <c r="H71" s="49">
        <f>C71-H$2</f>
        <v/>
      </c>
      <c r="I71" s="49">
        <f>C71-I$2</f>
        <v/>
      </c>
      <c r="J71" s="53">
        <f>IF(AND(E71&gt;=D71,E71&gt;=0),"P",IF(D71&gt;=0,"N","O"))</f>
        <v/>
      </c>
      <c r="K71" s="54">
        <f>IF(AND(F71&gt;=D71,F71&gt;=0),"P",IF(D71&gt;=0,"N","O"))</f>
        <v/>
      </c>
      <c r="L71" s="54">
        <f>IF(AND(G71&gt;=D71,G71&gt;=0),"P",IF(D71&gt;=0,"N","O"))</f>
        <v/>
      </c>
      <c r="M71" s="54">
        <f>IF(AND(H71&gt;=D71,H71&gt;=0),"P",IF(D71&gt;=0,"N","O"))</f>
        <v/>
      </c>
      <c r="N71" s="55">
        <f>IF(AND(I71&gt;=D71,I71&gt;=0),"P",IF(D71&gt;=0,"N","O"))</f>
        <v/>
      </c>
    </row>
    <row r="72" ht="21" customHeight="1">
      <c r="A72" s="18" t="n">
        <v>70</v>
      </c>
      <c r="B72" s="43">
        <f>MAX('Q1 WTP data'!B73:E73,'Q1 WTP data'!G73)</f>
        <v/>
      </c>
      <c r="C72" s="45">
        <f>'Q1 WTP data'!F73</f>
        <v/>
      </c>
      <c r="D72" s="48">
        <f>B72-D$2</f>
        <v/>
      </c>
      <c r="E72" s="49">
        <f>C72-E$2</f>
        <v/>
      </c>
      <c r="F72" s="49">
        <f>C72-F$2</f>
        <v/>
      </c>
      <c r="G72" s="49">
        <f>C72-G$2</f>
        <v/>
      </c>
      <c r="H72" s="49">
        <f>C72-H$2</f>
        <v/>
      </c>
      <c r="I72" s="49">
        <f>C72-I$2</f>
        <v/>
      </c>
      <c r="J72" s="53">
        <f>IF(AND(E72&gt;=D72,E72&gt;=0),"P",IF(D72&gt;=0,"N","O"))</f>
        <v/>
      </c>
      <c r="K72" s="54">
        <f>IF(AND(F72&gt;=D72,F72&gt;=0),"P",IF(D72&gt;=0,"N","O"))</f>
        <v/>
      </c>
      <c r="L72" s="54">
        <f>IF(AND(G72&gt;=D72,G72&gt;=0),"P",IF(D72&gt;=0,"N","O"))</f>
        <v/>
      </c>
      <c r="M72" s="54">
        <f>IF(AND(H72&gt;=D72,H72&gt;=0),"P",IF(D72&gt;=0,"N","O"))</f>
        <v/>
      </c>
      <c r="N72" s="55">
        <f>IF(AND(I72&gt;=D72,I72&gt;=0),"P",IF(D72&gt;=0,"N","O"))</f>
        <v/>
      </c>
    </row>
    <row r="73" ht="21" customHeight="1">
      <c r="A73" s="18" t="n">
        <v>71</v>
      </c>
      <c r="B73" s="43">
        <f>MAX('Q1 WTP data'!B74:E74,'Q1 WTP data'!G74)</f>
        <v/>
      </c>
      <c r="C73" s="45">
        <f>'Q1 WTP data'!F74</f>
        <v/>
      </c>
      <c r="D73" s="48">
        <f>B73-D$2</f>
        <v/>
      </c>
      <c r="E73" s="49">
        <f>C73-E$2</f>
        <v/>
      </c>
      <c r="F73" s="49">
        <f>C73-F$2</f>
        <v/>
      </c>
      <c r="G73" s="49">
        <f>C73-G$2</f>
        <v/>
      </c>
      <c r="H73" s="49">
        <f>C73-H$2</f>
        <v/>
      </c>
      <c r="I73" s="49">
        <f>C73-I$2</f>
        <v/>
      </c>
      <c r="J73" s="53">
        <f>IF(AND(E73&gt;=D73,E73&gt;=0),"P",IF(D73&gt;=0,"N","O"))</f>
        <v/>
      </c>
      <c r="K73" s="54">
        <f>IF(AND(F73&gt;=D73,F73&gt;=0),"P",IF(D73&gt;=0,"N","O"))</f>
        <v/>
      </c>
      <c r="L73" s="54">
        <f>IF(AND(G73&gt;=D73,G73&gt;=0),"P",IF(D73&gt;=0,"N","O"))</f>
        <v/>
      </c>
      <c r="M73" s="54">
        <f>IF(AND(H73&gt;=D73,H73&gt;=0),"P",IF(D73&gt;=0,"N","O"))</f>
        <v/>
      </c>
      <c r="N73" s="55">
        <f>IF(AND(I73&gt;=D73,I73&gt;=0),"P",IF(D73&gt;=0,"N","O"))</f>
        <v/>
      </c>
    </row>
    <row r="74" ht="21" customHeight="1">
      <c r="A74" s="18" t="n">
        <v>72</v>
      </c>
      <c r="B74" s="43">
        <f>MAX('Q1 WTP data'!B75:E75,'Q1 WTP data'!G75)</f>
        <v/>
      </c>
      <c r="C74" s="45">
        <f>'Q1 WTP data'!F75</f>
        <v/>
      </c>
      <c r="D74" s="48">
        <f>B74-D$2</f>
        <v/>
      </c>
      <c r="E74" s="49">
        <f>C74-E$2</f>
        <v/>
      </c>
      <c r="F74" s="49">
        <f>C74-F$2</f>
        <v/>
      </c>
      <c r="G74" s="49">
        <f>C74-G$2</f>
        <v/>
      </c>
      <c r="H74" s="49">
        <f>C74-H$2</f>
        <v/>
      </c>
      <c r="I74" s="49">
        <f>C74-I$2</f>
        <v/>
      </c>
      <c r="J74" s="53">
        <f>IF(AND(E74&gt;=D74,E74&gt;=0),"P",IF(D74&gt;=0,"N","O"))</f>
        <v/>
      </c>
      <c r="K74" s="54">
        <f>IF(AND(F74&gt;=D74,F74&gt;=0),"P",IF(D74&gt;=0,"N","O"))</f>
        <v/>
      </c>
      <c r="L74" s="54">
        <f>IF(AND(G74&gt;=D74,G74&gt;=0),"P",IF(D74&gt;=0,"N","O"))</f>
        <v/>
      </c>
      <c r="M74" s="54">
        <f>IF(AND(H74&gt;=D74,H74&gt;=0),"P",IF(D74&gt;=0,"N","O"))</f>
        <v/>
      </c>
      <c r="N74" s="55">
        <f>IF(AND(I74&gt;=D74,I74&gt;=0),"P",IF(D74&gt;=0,"N","O"))</f>
        <v/>
      </c>
    </row>
    <row r="75" ht="21" customHeight="1">
      <c r="A75" s="18" t="n">
        <v>73</v>
      </c>
      <c r="B75" s="43">
        <f>MAX('Q1 WTP data'!B76:E76,'Q1 WTP data'!G76)</f>
        <v/>
      </c>
      <c r="C75" s="45">
        <f>'Q1 WTP data'!F76</f>
        <v/>
      </c>
      <c r="D75" s="48">
        <f>B75-D$2</f>
        <v/>
      </c>
      <c r="E75" s="49">
        <f>C75-E$2</f>
        <v/>
      </c>
      <c r="F75" s="49">
        <f>C75-F$2</f>
        <v/>
      </c>
      <c r="G75" s="49">
        <f>C75-G$2</f>
        <v/>
      </c>
      <c r="H75" s="49">
        <f>C75-H$2</f>
        <v/>
      </c>
      <c r="I75" s="49">
        <f>C75-I$2</f>
        <v/>
      </c>
      <c r="J75" s="53">
        <f>IF(AND(E75&gt;=D75,E75&gt;=0),"P",IF(D75&gt;=0,"N","O"))</f>
        <v/>
      </c>
      <c r="K75" s="54">
        <f>IF(AND(F75&gt;=D75,F75&gt;=0),"P",IF(D75&gt;=0,"N","O"))</f>
        <v/>
      </c>
      <c r="L75" s="54">
        <f>IF(AND(G75&gt;=D75,G75&gt;=0),"P",IF(D75&gt;=0,"N","O"))</f>
        <v/>
      </c>
      <c r="M75" s="54">
        <f>IF(AND(H75&gt;=D75,H75&gt;=0),"P",IF(D75&gt;=0,"N","O"))</f>
        <v/>
      </c>
      <c r="N75" s="55">
        <f>IF(AND(I75&gt;=D75,I75&gt;=0),"P",IF(D75&gt;=0,"N","O"))</f>
        <v/>
      </c>
    </row>
    <row r="76" ht="21" customHeight="1">
      <c r="A76" s="18" t="n">
        <v>74</v>
      </c>
      <c r="B76" s="43">
        <f>MAX('Q1 WTP data'!B77:E77,'Q1 WTP data'!G77)</f>
        <v/>
      </c>
      <c r="C76" s="45">
        <f>'Q1 WTP data'!F77</f>
        <v/>
      </c>
      <c r="D76" s="48">
        <f>B76-D$2</f>
        <v/>
      </c>
      <c r="E76" s="49">
        <f>C76-E$2</f>
        <v/>
      </c>
      <c r="F76" s="49">
        <f>C76-F$2</f>
        <v/>
      </c>
      <c r="G76" s="49">
        <f>C76-G$2</f>
        <v/>
      </c>
      <c r="H76" s="49">
        <f>C76-H$2</f>
        <v/>
      </c>
      <c r="I76" s="49">
        <f>C76-I$2</f>
        <v/>
      </c>
      <c r="J76" s="53">
        <f>IF(AND(E76&gt;=D76,E76&gt;=0),"P",IF(D76&gt;=0,"N","O"))</f>
        <v/>
      </c>
      <c r="K76" s="54">
        <f>IF(AND(F76&gt;=D76,F76&gt;=0),"P",IF(D76&gt;=0,"N","O"))</f>
        <v/>
      </c>
      <c r="L76" s="54">
        <f>IF(AND(G76&gt;=D76,G76&gt;=0),"P",IF(D76&gt;=0,"N","O"))</f>
        <v/>
      </c>
      <c r="M76" s="54">
        <f>IF(AND(H76&gt;=D76,H76&gt;=0),"P",IF(D76&gt;=0,"N","O"))</f>
        <v/>
      </c>
      <c r="N76" s="55">
        <f>IF(AND(I76&gt;=D76,I76&gt;=0),"P",IF(D76&gt;=0,"N","O"))</f>
        <v/>
      </c>
    </row>
    <row r="77" ht="21" customHeight="1">
      <c r="A77" s="18" t="n">
        <v>75</v>
      </c>
      <c r="B77" s="43">
        <f>MAX('Q1 WTP data'!B78:E78,'Q1 WTP data'!G78)</f>
        <v/>
      </c>
      <c r="C77" s="45">
        <f>'Q1 WTP data'!F78</f>
        <v/>
      </c>
      <c r="D77" s="48">
        <f>B77-D$2</f>
        <v/>
      </c>
      <c r="E77" s="49">
        <f>C77-E$2</f>
        <v/>
      </c>
      <c r="F77" s="49">
        <f>C77-F$2</f>
        <v/>
      </c>
      <c r="G77" s="49">
        <f>C77-G$2</f>
        <v/>
      </c>
      <c r="H77" s="49">
        <f>C77-H$2</f>
        <v/>
      </c>
      <c r="I77" s="49">
        <f>C77-I$2</f>
        <v/>
      </c>
      <c r="J77" s="53">
        <f>IF(AND(E77&gt;=D77,E77&gt;=0),"P",IF(D77&gt;=0,"N","O"))</f>
        <v/>
      </c>
      <c r="K77" s="54">
        <f>IF(AND(F77&gt;=D77,F77&gt;=0),"P",IF(D77&gt;=0,"N","O"))</f>
        <v/>
      </c>
      <c r="L77" s="54">
        <f>IF(AND(G77&gt;=D77,G77&gt;=0),"P",IF(D77&gt;=0,"N","O"))</f>
        <v/>
      </c>
      <c r="M77" s="54">
        <f>IF(AND(H77&gt;=D77,H77&gt;=0),"P",IF(D77&gt;=0,"N","O"))</f>
        <v/>
      </c>
      <c r="N77" s="55">
        <f>IF(AND(I77&gt;=D77,I77&gt;=0),"P",IF(D77&gt;=0,"N","O"))</f>
        <v/>
      </c>
    </row>
    <row r="78" ht="21" customHeight="1">
      <c r="A78" s="18" t="n">
        <v>76</v>
      </c>
      <c r="B78" s="43">
        <f>MAX('Q1 WTP data'!B79:E79,'Q1 WTP data'!G79)</f>
        <v/>
      </c>
      <c r="C78" s="45">
        <f>'Q1 WTP data'!F79</f>
        <v/>
      </c>
      <c r="D78" s="48">
        <f>B78-D$2</f>
        <v/>
      </c>
      <c r="E78" s="49">
        <f>C78-E$2</f>
        <v/>
      </c>
      <c r="F78" s="49">
        <f>C78-F$2</f>
        <v/>
      </c>
      <c r="G78" s="49">
        <f>C78-G$2</f>
        <v/>
      </c>
      <c r="H78" s="49">
        <f>C78-H$2</f>
        <v/>
      </c>
      <c r="I78" s="49">
        <f>C78-I$2</f>
        <v/>
      </c>
      <c r="J78" s="53">
        <f>IF(AND(E78&gt;=D78,E78&gt;=0),"P",IF(D78&gt;=0,"N","O"))</f>
        <v/>
      </c>
      <c r="K78" s="54">
        <f>IF(AND(F78&gt;=D78,F78&gt;=0),"P",IF(D78&gt;=0,"N","O"))</f>
        <v/>
      </c>
      <c r="L78" s="54">
        <f>IF(AND(G78&gt;=D78,G78&gt;=0),"P",IF(D78&gt;=0,"N","O"))</f>
        <v/>
      </c>
      <c r="M78" s="54">
        <f>IF(AND(H78&gt;=D78,H78&gt;=0),"P",IF(D78&gt;=0,"N","O"))</f>
        <v/>
      </c>
      <c r="N78" s="55">
        <f>IF(AND(I78&gt;=D78,I78&gt;=0),"P",IF(D78&gt;=0,"N","O"))</f>
        <v/>
      </c>
    </row>
    <row r="79" ht="21" customHeight="1">
      <c r="A79" s="18" t="n">
        <v>77</v>
      </c>
      <c r="B79" s="43">
        <f>MAX('Q1 WTP data'!B80:E80,'Q1 WTP data'!G80)</f>
        <v/>
      </c>
      <c r="C79" s="45">
        <f>'Q1 WTP data'!F80</f>
        <v/>
      </c>
      <c r="D79" s="48">
        <f>B79-D$2</f>
        <v/>
      </c>
      <c r="E79" s="49">
        <f>C79-E$2</f>
        <v/>
      </c>
      <c r="F79" s="49">
        <f>C79-F$2</f>
        <v/>
      </c>
      <c r="G79" s="49">
        <f>C79-G$2</f>
        <v/>
      </c>
      <c r="H79" s="49">
        <f>C79-H$2</f>
        <v/>
      </c>
      <c r="I79" s="49">
        <f>C79-I$2</f>
        <v/>
      </c>
      <c r="J79" s="53">
        <f>IF(AND(E79&gt;=D79,E79&gt;=0),"P",IF(D79&gt;=0,"N","O"))</f>
        <v/>
      </c>
      <c r="K79" s="54">
        <f>IF(AND(F79&gt;=D79,F79&gt;=0),"P",IF(D79&gt;=0,"N","O"))</f>
        <v/>
      </c>
      <c r="L79" s="54">
        <f>IF(AND(G79&gt;=D79,G79&gt;=0),"P",IF(D79&gt;=0,"N","O"))</f>
        <v/>
      </c>
      <c r="M79" s="54">
        <f>IF(AND(H79&gt;=D79,H79&gt;=0),"P",IF(D79&gt;=0,"N","O"))</f>
        <v/>
      </c>
      <c r="N79" s="55">
        <f>IF(AND(I79&gt;=D79,I79&gt;=0),"P",IF(D79&gt;=0,"N","O"))</f>
        <v/>
      </c>
    </row>
    <row r="80" ht="21" customHeight="1">
      <c r="A80" s="18" t="n">
        <v>78</v>
      </c>
      <c r="B80" s="43">
        <f>MAX('Q1 WTP data'!B81:E81,'Q1 WTP data'!G81)</f>
        <v/>
      </c>
      <c r="C80" s="45">
        <f>'Q1 WTP data'!F81</f>
        <v/>
      </c>
      <c r="D80" s="48">
        <f>B80-D$2</f>
        <v/>
      </c>
      <c r="E80" s="49">
        <f>C80-E$2</f>
        <v/>
      </c>
      <c r="F80" s="49">
        <f>C80-F$2</f>
        <v/>
      </c>
      <c r="G80" s="49">
        <f>C80-G$2</f>
        <v/>
      </c>
      <c r="H80" s="49">
        <f>C80-H$2</f>
        <v/>
      </c>
      <c r="I80" s="49">
        <f>C80-I$2</f>
        <v/>
      </c>
      <c r="J80" s="53">
        <f>IF(AND(E80&gt;=D80,E80&gt;=0),"P",IF(D80&gt;=0,"N","O"))</f>
        <v/>
      </c>
      <c r="K80" s="54">
        <f>IF(AND(F80&gt;=D80,F80&gt;=0),"P",IF(D80&gt;=0,"N","O"))</f>
        <v/>
      </c>
      <c r="L80" s="54">
        <f>IF(AND(G80&gt;=D80,G80&gt;=0),"P",IF(D80&gt;=0,"N","O"))</f>
        <v/>
      </c>
      <c r="M80" s="54">
        <f>IF(AND(H80&gt;=D80,H80&gt;=0),"P",IF(D80&gt;=0,"N","O"))</f>
        <v/>
      </c>
      <c r="N80" s="55">
        <f>IF(AND(I80&gt;=D80,I80&gt;=0),"P",IF(D80&gt;=0,"N","O"))</f>
        <v/>
      </c>
    </row>
    <row r="81" ht="21" customHeight="1">
      <c r="A81" s="18" t="n">
        <v>79</v>
      </c>
      <c r="B81" s="43">
        <f>MAX('Q1 WTP data'!B82:E82,'Q1 WTP data'!G82)</f>
        <v/>
      </c>
      <c r="C81" s="45">
        <f>'Q1 WTP data'!F82</f>
        <v/>
      </c>
      <c r="D81" s="48">
        <f>B81-D$2</f>
        <v/>
      </c>
      <c r="E81" s="49">
        <f>C81-E$2</f>
        <v/>
      </c>
      <c r="F81" s="49">
        <f>C81-F$2</f>
        <v/>
      </c>
      <c r="G81" s="49">
        <f>C81-G$2</f>
        <v/>
      </c>
      <c r="H81" s="49">
        <f>C81-H$2</f>
        <v/>
      </c>
      <c r="I81" s="49">
        <f>C81-I$2</f>
        <v/>
      </c>
      <c r="J81" s="53">
        <f>IF(AND(E81&gt;=D81,E81&gt;=0),"P",IF(D81&gt;=0,"N","O"))</f>
        <v/>
      </c>
      <c r="K81" s="54">
        <f>IF(AND(F81&gt;=D81,F81&gt;=0),"P",IF(D81&gt;=0,"N","O"))</f>
        <v/>
      </c>
      <c r="L81" s="54">
        <f>IF(AND(G81&gt;=D81,G81&gt;=0),"P",IF(D81&gt;=0,"N","O"))</f>
        <v/>
      </c>
      <c r="M81" s="54">
        <f>IF(AND(H81&gt;=D81,H81&gt;=0),"P",IF(D81&gt;=0,"N","O"))</f>
        <v/>
      </c>
      <c r="N81" s="55">
        <f>IF(AND(I81&gt;=D81,I81&gt;=0),"P",IF(D81&gt;=0,"N","O"))</f>
        <v/>
      </c>
    </row>
    <row r="82" ht="21" customHeight="1">
      <c r="A82" s="18" t="n">
        <v>80</v>
      </c>
      <c r="B82" s="43">
        <f>MAX('Q1 WTP data'!B83:E83,'Q1 WTP data'!G83)</f>
        <v/>
      </c>
      <c r="C82" s="45">
        <f>'Q1 WTP data'!F83</f>
        <v/>
      </c>
      <c r="D82" s="48">
        <f>B82-D$2</f>
        <v/>
      </c>
      <c r="E82" s="49">
        <f>C82-E$2</f>
        <v/>
      </c>
      <c r="F82" s="49">
        <f>C82-F$2</f>
        <v/>
      </c>
      <c r="G82" s="49">
        <f>C82-G$2</f>
        <v/>
      </c>
      <c r="H82" s="49">
        <f>C82-H$2</f>
        <v/>
      </c>
      <c r="I82" s="49">
        <f>C82-I$2</f>
        <v/>
      </c>
      <c r="J82" s="53">
        <f>IF(AND(E82&gt;=D82,E82&gt;=0),"P",IF(D82&gt;=0,"N","O"))</f>
        <v/>
      </c>
      <c r="K82" s="54">
        <f>IF(AND(F82&gt;=D82,F82&gt;=0),"P",IF(D82&gt;=0,"N","O"))</f>
        <v/>
      </c>
      <c r="L82" s="54">
        <f>IF(AND(G82&gt;=D82,G82&gt;=0),"P",IF(D82&gt;=0,"N","O"))</f>
        <v/>
      </c>
      <c r="M82" s="54">
        <f>IF(AND(H82&gt;=D82,H82&gt;=0),"P",IF(D82&gt;=0,"N","O"))</f>
        <v/>
      </c>
      <c r="N82" s="55">
        <f>IF(AND(I82&gt;=D82,I82&gt;=0),"P",IF(D82&gt;=0,"N","O"))</f>
        <v/>
      </c>
    </row>
    <row r="83" ht="21" customHeight="1">
      <c r="A83" s="18" t="n">
        <v>81</v>
      </c>
      <c r="B83" s="43">
        <f>MAX('Q1 WTP data'!B84:E84,'Q1 WTP data'!G84)</f>
        <v/>
      </c>
      <c r="C83" s="45">
        <f>'Q1 WTP data'!F84</f>
        <v/>
      </c>
      <c r="D83" s="48">
        <f>B83-D$2</f>
        <v/>
      </c>
      <c r="E83" s="49">
        <f>C83-E$2</f>
        <v/>
      </c>
      <c r="F83" s="49">
        <f>C83-F$2</f>
        <v/>
      </c>
      <c r="G83" s="49">
        <f>C83-G$2</f>
        <v/>
      </c>
      <c r="H83" s="49">
        <f>C83-H$2</f>
        <v/>
      </c>
      <c r="I83" s="49">
        <f>C83-I$2</f>
        <v/>
      </c>
      <c r="J83" s="53">
        <f>IF(AND(E83&gt;=D83,E83&gt;=0),"P",IF(D83&gt;=0,"N","O"))</f>
        <v/>
      </c>
      <c r="K83" s="54">
        <f>IF(AND(F83&gt;=D83,F83&gt;=0),"P",IF(D83&gt;=0,"N","O"))</f>
        <v/>
      </c>
      <c r="L83" s="54">
        <f>IF(AND(G83&gt;=D83,G83&gt;=0),"P",IF(D83&gt;=0,"N","O"))</f>
        <v/>
      </c>
      <c r="M83" s="54">
        <f>IF(AND(H83&gt;=D83,H83&gt;=0),"P",IF(D83&gt;=0,"N","O"))</f>
        <v/>
      </c>
      <c r="N83" s="55">
        <f>IF(AND(I83&gt;=D83,I83&gt;=0),"P",IF(D83&gt;=0,"N","O"))</f>
        <v/>
      </c>
    </row>
    <row r="84" ht="21" customHeight="1">
      <c r="A84" s="18" t="n">
        <v>82</v>
      </c>
      <c r="B84" s="43">
        <f>MAX('Q1 WTP data'!B85:E85,'Q1 WTP data'!G85)</f>
        <v/>
      </c>
      <c r="C84" s="45">
        <f>'Q1 WTP data'!F85</f>
        <v/>
      </c>
      <c r="D84" s="48">
        <f>B84-D$2</f>
        <v/>
      </c>
      <c r="E84" s="49">
        <f>C84-E$2</f>
        <v/>
      </c>
      <c r="F84" s="49">
        <f>C84-F$2</f>
        <v/>
      </c>
      <c r="G84" s="49">
        <f>C84-G$2</f>
        <v/>
      </c>
      <c r="H84" s="49">
        <f>C84-H$2</f>
        <v/>
      </c>
      <c r="I84" s="49">
        <f>C84-I$2</f>
        <v/>
      </c>
      <c r="J84" s="53">
        <f>IF(AND(E84&gt;=D84,E84&gt;=0),"P",IF(D84&gt;=0,"N","O"))</f>
        <v/>
      </c>
      <c r="K84" s="54">
        <f>IF(AND(F84&gt;=D84,F84&gt;=0),"P",IF(D84&gt;=0,"N","O"))</f>
        <v/>
      </c>
      <c r="L84" s="54">
        <f>IF(AND(G84&gt;=D84,G84&gt;=0),"P",IF(D84&gt;=0,"N","O"))</f>
        <v/>
      </c>
      <c r="M84" s="54">
        <f>IF(AND(H84&gt;=D84,H84&gt;=0),"P",IF(D84&gt;=0,"N","O"))</f>
        <v/>
      </c>
      <c r="N84" s="55">
        <f>IF(AND(I84&gt;=D84,I84&gt;=0),"P",IF(D84&gt;=0,"N","O"))</f>
        <v/>
      </c>
    </row>
    <row r="85" ht="21" customHeight="1">
      <c r="A85" s="18" t="n">
        <v>83</v>
      </c>
      <c r="B85" s="43">
        <f>MAX('Q1 WTP data'!B86:E86,'Q1 WTP data'!G86)</f>
        <v/>
      </c>
      <c r="C85" s="45">
        <f>'Q1 WTP data'!F86</f>
        <v/>
      </c>
      <c r="D85" s="48">
        <f>B85-D$2</f>
        <v/>
      </c>
      <c r="E85" s="49">
        <f>C85-E$2</f>
        <v/>
      </c>
      <c r="F85" s="49">
        <f>C85-F$2</f>
        <v/>
      </c>
      <c r="G85" s="49">
        <f>C85-G$2</f>
        <v/>
      </c>
      <c r="H85" s="49">
        <f>C85-H$2</f>
        <v/>
      </c>
      <c r="I85" s="49">
        <f>C85-I$2</f>
        <v/>
      </c>
      <c r="J85" s="53">
        <f>IF(AND(E85&gt;=D85,E85&gt;=0),"P",IF(D85&gt;=0,"N","O"))</f>
        <v/>
      </c>
      <c r="K85" s="54">
        <f>IF(AND(F85&gt;=D85,F85&gt;=0),"P",IF(D85&gt;=0,"N","O"))</f>
        <v/>
      </c>
      <c r="L85" s="54">
        <f>IF(AND(G85&gt;=D85,G85&gt;=0),"P",IF(D85&gt;=0,"N","O"))</f>
        <v/>
      </c>
      <c r="M85" s="54">
        <f>IF(AND(H85&gt;=D85,H85&gt;=0),"P",IF(D85&gt;=0,"N","O"))</f>
        <v/>
      </c>
      <c r="N85" s="55">
        <f>IF(AND(I85&gt;=D85,I85&gt;=0),"P",IF(D85&gt;=0,"N","O"))</f>
        <v/>
      </c>
    </row>
    <row r="86" ht="21" customHeight="1">
      <c r="A86" s="18" t="n">
        <v>84</v>
      </c>
      <c r="B86" s="43">
        <f>MAX('Q1 WTP data'!B87:E87,'Q1 WTP data'!G87)</f>
        <v/>
      </c>
      <c r="C86" s="45">
        <f>'Q1 WTP data'!F87</f>
        <v/>
      </c>
      <c r="D86" s="48">
        <f>B86-D$2</f>
        <v/>
      </c>
      <c r="E86" s="49">
        <f>C86-E$2</f>
        <v/>
      </c>
      <c r="F86" s="49">
        <f>C86-F$2</f>
        <v/>
      </c>
      <c r="G86" s="49">
        <f>C86-G$2</f>
        <v/>
      </c>
      <c r="H86" s="49">
        <f>C86-H$2</f>
        <v/>
      </c>
      <c r="I86" s="49">
        <f>C86-I$2</f>
        <v/>
      </c>
      <c r="J86" s="53">
        <f>IF(AND(E86&gt;=D86,E86&gt;=0),"P",IF(D86&gt;=0,"N","O"))</f>
        <v/>
      </c>
      <c r="K86" s="54">
        <f>IF(AND(F86&gt;=D86,F86&gt;=0),"P",IF(D86&gt;=0,"N","O"))</f>
        <v/>
      </c>
      <c r="L86" s="54">
        <f>IF(AND(G86&gt;=D86,G86&gt;=0),"P",IF(D86&gt;=0,"N","O"))</f>
        <v/>
      </c>
      <c r="M86" s="54">
        <f>IF(AND(H86&gt;=D86,H86&gt;=0),"P",IF(D86&gt;=0,"N","O"))</f>
        <v/>
      </c>
      <c r="N86" s="55">
        <f>IF(AND(I86&gt;=D86,I86&gt;=0),"P",IF(D86&gt;=0,"N","O"))</f>
        <v/>
      </c>
    </row>
    <row r="87" ht="21" customHeight="1">
      <c r="A87" s="18" t="n">
        <v>85</v>
      </c>
      <c r="B87" s="43">
        <f>MAX('Q1 WTP data'!B88:E88,'Q1 WTP data'!G88)</f>
        <v/>
      </c>
      <c r="C87" s="45">
        <f>'Q1 WTP data'!F88</f>
        <v/>
      </c>
      <c r="D87" s="48">
        <f>B87-D$2</f>
        <v/>
      </c>
      <c r="E87" s="49">
        <f>C87-E$2</f>
        <v/>
      </c>
      <c r="F87" s="49">
        <f>C87-F$2</f>
        <v/>
      </c>
      <c r="G87" s="49">
        <f>C87-G$2</f>
        <v/>
      </c>
      <c r="H87" s="49">
        <f>C87-H$2</f>
        <v/>
      </c>
      <c r="I87" s="49">
        <f>C87-I$2</f>
        <v/>
      </c>
      <c r="J87" s="53">
        <f>IF(AND(E87&gt;=D87,E87&gt;=0),"P",IF(D87&gt;=0,"N","O"))</f>
        <v/>
      </c>
      <c r="K87" s="54">
        <f>IF(AND(F87&gt;=D87,F87&gt;=0),"P",IF(D87&gt;=0,"N","O"))</f>
        <v/>
      </c>
      <c r="L87" s="54">
        <f>IF(AND(G87&gt;=D87,G87&gt;=0),"P",IF(D87&gt;=0,"N","O"))</f>
        <v/>
      </c>
      <c r="M87" s="54">
        <f>IF(AND(H87&gt;=D87,H87&gt;=0),"P",IF(D87&gt;=0,"N","O"))</f>
        <v/>
      </c>
      <c r="N87" s="55">
        <f>IF(AND(I87&gt;=D87,I87&gt;=0),"P",IF(D87&gt;=0,"N","O"))</f>
        <v/>
      </c>
    </row>
    <row r="88" ht="21" customHeight="1">
      <c r="A88" s="18" t="n">
        <v>86</v>
      </c>
      <c r="B88" s="43">
        <f>MAX('Q1 WTP data'!B89:E89,'Q1 WTP data'!G89)</f>
        <v/>
      </c>
      <c r="C88" s="45">
        <f>'Q1 WTP data'!F89</f>
        <v/>
      </c>
      <c r="D88" s="48">
        <f>B88-D$2</f>
        <v/>
      </c>
      <c r="E88" s="49">
        <f>C88-E$2</f>
        <v/>
      </c>
      <c r="F88" s="49">
        <f>C88-F$2</f>
        <v/>
      </c>
      <c r="G88" s="49">
        <f>C88-G$2</f>
        <v/>
      </c>
      <c r="H88" s="49">
        <f>C88-H$2</f>
        <v/>
      </c>
      <c r="I88" s="49">
        <f>C88-I$2</f>
        <v/>
      </c>
      <c r="J88" s="53">
        <f>IF(AND(E88&gt;=D88,E88&gt;=0),"P",IF(D88&gt;=0,"N","O"))</f>
        <v/>
      </c>
      <c r="K88" s="54">
        <f>IF(AND(F88&gt;=D88,F88&gt;=0),"P",IF(D88&gt;=0,"N","O"))</f>
        <v/>
      </c>
      <c r="L88" s="54">
        <f>IF(AND(G88&gt;=D88,G88&gt;=0),"P",IF(D88&gt;=0,"N","O"))</f>
        <v/>
      </c>
      <c r="M88" s="54">
        <f>IF(AND(H88&gt;=D88,H88&gt;=0),"P",IF(D88&gt;=0,"N","O"))</f>
        <v/>
      </c>
      <c r="N88" s="55">
        <f>IF(AND(I88&gt;=D88,I88&gt;=0),"P",IF(D88&gt;=0,"N","O"))</f>
        <v/>
      </c>
    </row>
    <row r="89" ht="21" customHeight="1">
      <c r="A89" s="18" t="n">
        <v>87</v>
      </c>
      <c r="B89" s="43">
        <f>MAX('Q1 WTP data'!B90:E90,'Q1 WTP data'!G90)</f>
        <v/>
      </c>
      <c r="C89" s="45">
        <f>'Q1 WTP data'!F90</f>
        <v/>
      </c>
      <c r="D89" s="48">
        <f>B89-D$2</f>
        <v/>
      </c>
      <c r="E89" s="49">
        <f>C89-E$2</f>
        <v/>
      </c>
      <c r="F89" s="49">
        <f>C89-F$2</f>
        <v/>
      </c>
      <c r="G89" s="49">
        <f>C89-G$2</f>
        <v/>
      </c>
      <c r="H89" s="49">
        <f>C89-H$2</f>
        <v/>
      </c>
      <c r="I89" s="49">
        <f>C89-I$2</f>
        <v/>
      </c>
      <c r="J89" s="53">
        <f>IF(AND(E89&gt;=D89,E89&gt;=0),"P",IF(D89&gt;=0,"N","O"))</f>
        <v/>
      </c>
      <c r="K89" s="54">
        <f>IF(AND(F89&gt;=D89,F89&gt;=0),"P",IF(D89&gt;=0,"N","O"))</f>
        <v/>
      </c>
      <c r="L89" s="54">
        <f>IF(AND(G89&gt;=D89,G89&gt;=0),"P",IF(D89&gt;=0,"N","O"))</f>
        <v/>
      </c>
      <c r="M89" s="54">
        <f>IF(AND(H89&gt;=D89,H89&gt;=0),"P",IF(D89&gt;=0,"N","O"))</f>
        <v/>
      </c>
      <c r="N89" s="55">
        <f>IF(AND(I89&gt;=D89,I89&gt;=0),"P",IF(D89&gt;=0,"N","O"))</f>
        <v/>
      </c>
    </row>
    <row r="90" ht="21" customHeight="1">
      <c r="A90" s="18" t="n">
        <v>88</v>
      </c>
      <c r="B90" s="43">
        <f>MAX('Q1 WTP data'!B91:E91,'Q1 WTP data'!G91)</f>
        <v/>
      </c>
      <c r="C90" s="45">
        <f>'Q1 WTP data'!F91</f>
        <v/>
      </c>
      <c r="D90" s="48">
        <f>B90-D$2</f>
        <v/>
      </c>
      <c r="E90" s="49">
        <f>C90-E$2</f>
        <v/>
      </c>
      <c r="F90" s="49">
        <f>C90-F$2</f>
        <v/>
      </c>
      <c r="G90" s="49">
        <f>C90-G$2</f>
        <v/>
      </c>
      <c r="H90" s="49">
        <f>C90-H$2</f>
        <v/>
      </c>
      <c r="I90" s="49">
        <f>C90-I$2</f>
        <v/>
      </c>
      <c r="J90" s="53">
        <f>IF(AND(E90&gt;=D90,E90&gt;=0),"P",IF(D90&gt;=0,"N","O"))</f>
        <v/>
      </c>
      <c r="K90" s="54">
        <f>IF(AND(F90&gt;=D90,F90&gt;=0),"P",IF(D90&gt;=0,"N","O"))</f>
        <v/>
      </c>
      <c r="L90" s="54">
        <f>IF(AND(G90&gt;=D90,G90&gt;=0),"P",IF(D90&gt;=0,"N","O"))</f>
        <v/>
      </c>
      <c r="M90" s="54">
        <f>IF(AND(H90&gt;=D90,H90&gt;=0),"P",IF(D90&gt;=0,"N","O"))</f>
        <v/>
      </c>
      <c r="N90" s="55">
        <f>IF(AND(I90&gt;=D90,I90&gt;=0),"P",IF(D90&gt;=0,"N","O"))</f>
        <v/>
      </c>
    </row>
    <row r="91" ht="21" customHeight="1">
      <c r="A91" s="18" t="n">
        <v>89</v>
      </c>
      <c r="B91" s="43">
        <f>MAX('Q1 WTP data'!B92:E92,'Q1 WTP data'!G92)</f>
        <v/>
      </c>
      <c r="C91" s="45">
        <f>'Q1 WTP data'!F92</f>
        <v/>
      </c>
      <c r="D91" s="48">
        <f>B91-D$2</f>
        <v/>
      </c>
      <c r="E91" s="49">
        <f>C91-E$2</f>
        <v/>
      </c>
      <c r="F91" s="49">
        <f>C91-F$2</f>
        <v/>
      </c>
      <c r="G91" s="49">
        <f>C91-G$2</f>
        <v/>
      </c>
      <c r="H91" s="49">
        <f>C91-H$2</f>
        <v/>
      </c>
      <c r="I91" s="49">
        <f>C91-I$2</f>
        <v/>
      </c>
      <c r="J91" s="53">
        <f>IF(AND(E91&gt;=D91,E91&gt;=0),"P",IF(D91&gt;=0,"N","O"))</f>
        <v/>
      </c>
      <c r="K91" s="54">
        <f>IF(AND(F91&gt;=D91,F91&gt;=0),"P",IF(D91&gt;=0,"N","O"))</f>
        <v/>
      </c>
      <c r="L91" s="54">
        <f>IF(AND(G91&gt;=D91,G91&gt;=0),"P",IF(D91&gt;=0,"N","O"))</f>
        <v/>
      </c>
      <c r="M91" s="54">
        <f>IF(AND(H91&gt;=D91,H91&gt;=0),"P",IF(D91&gt;=0,"N","O"))</f>
        <v/>
      </c>
      <c r="N91" s="55">
        <f>IF(AND(I91&gt;=D91,I91&gt;=0),"P",IF(D91&gt;=0,"N","O"))</f>
        <v/>
      </c>
    </row>
    <row r="92" ht="21" customHeight="1">
      <c r="A92" s="18" t="n">
        <v>90</v>
      </c>
      <c r="B92" s="43">
        <f>MAX('Q1 WTP data'!B93:E93,'Q1 WTP data'!G93)</f>
        <v/>
      </c>
      <c r="C92" s="45">
        <f>'Q1 WTP data'!F93</f>
        <v/>
      </c>
      <c r="D92" s="48">
        <f>B92-D$2</f>
        <v/>
      </c>
      <c r="E92" s="49">
        <f>C92-E$2</f>
        <v/>
      </c>
      <c r="F92" s="49">
        <f>C92-F$2</f>
        <v/>
      </c>
      <c r="G92" s="49">
        <f>C92-G$2</f>
        <v/>
      </c>
      <c r="H92" s="49">
        <f>C92-H$2</f>
        <v/>
      </c>
      <c r="I92" s="49">
        <f>C92-I$2</f>
        <v/>
      </c>
      <c r="J92" s="53">
        <f>IF(AND(E92&gt;=D92,E92&gt;=0),"P",IF(D92&gt;=0,"N","O"))</f>
        <v/>
      </c>
      <c r="K92" s="54">
        <f>IF(AND(F92&gt;=D92,F92&gt;=0),"P",IF(D92&gt;=0,"N","O"))</f>
        <v/>
      </c>
      <c r="L92" s="54">
        <f>IF(AND(G92&gt;=D92,G92&gt;=0),"P",IF(D92&gt;=0,"N","O"))</f>
        <v/>
      </c>
      <c r="M92" s="54">
        <f>IF(AND(H92&gt;=D92,H92&gt;=0),"P",IF(D92&gt;=0,"N","O"))</f>
        <v/>
      </c>
      <c r="N92" s="55">
        <f>IF(AND(I92&gt;=D92,I92&gt;=0),"P",IF(D92&gt;=0,"N","O"))</f>
        <v/>
      </c>
    </row>
    <row r="93" ht="21" customHeight="1">
      <c r="A93" s="18" t="n">
        <v>91</v>
      </c>
      <c r="B93" s="43">
        <f>MAX('Q1 WTP data'!B94:E94,'Q1 WTP data'!G94)</f>
        <v/>
      </c>
      <c r="C93" s="45">
        <f>'Q1 WTP data'!F94</f>
        <v/>
      </c>
      <c r="D93" s="48">
        <f>B93-D$2</f>
        <v/>
      </c>
      <c r="E93" s="49">
        <f>C93-E$2</f>
        <v/>
      </c>
      <c r="F93" s="49">
        <f>C93-F$2</f>
        <v/>
      </c>
      <c r="G93" s="49">
        <f>C93-G$2</f>
        <v/>
      </c>
      <c r="H93" s="49">
        <f>C93-H$2</f>
        <v/>
      </c>
      <c r="I93" s="49">
        <f>C93-I$2</f>
        <v/>
      </c>
      <c r="J93" s="53">
        <f>IF(AND(E93&gt;=D93,E93&gt;=0),"P",IF(D93&gt;=0,"N","O"))</f>
        <v/>
      </c>
      <c r="K93" s="54">
        <f>IF(AND(F93&gt;=D93,F93&gt;=0),"P",IF(D93&gt;=0,"N","O"))</f>
        <v/>
      </c>
      <c r="L93" s="54">
        <f>IF(AND(G93&gt;=D93,G93&gt;=0),"P",IF(D93&gt;=0,"N","O"))</f>
        <v/>
      </c>
      <c r="M93" s="54">
        <f>IF(AND(H93&gt;=D93,H93&gt;=0),"P",IF(D93&gt;=0,"N","O"))</f>
        <v/>
      </c>
      <c r="N93" s="55">
        <f>IF(AND(I93&gt;=D93,I93&gt;=0),"P",IF(D93&gt;=0,"N","O"))</f>
        <v/>
      </c>
    </row>
    <row r="94" ht="21" customHeight="1">
      <c r="A94" s="18" t="n">
        <v>92</v>
      </c>
      <c r="B94" s="43">
        <f>MAX('Q1 WTP data'!B95:E95,'Q1 WTP data'!G95)</f>
        <v/>
      </c>
      <c r="C94" s="45">
        <f>'Q1 WTP data'!F95</f>
        <v/>
      </c>
      <c r="D94" s="48">
        <f>B94-D$2</f>
        <v/>
      </c>
      <c r="E94" s="49">
        <f>C94-E$2</f>
        <v/>
      </c>
      <c r="F94" s="49">
        <f>C94-F$2</f>
        <v/>
      </c>
      <c r="G94" s="49">
        <f>C94-G$2</f>
        <v/>
      </c>
      <c r="H94" s="49">
        <f>C94-H$2</f>
        <v/>
      </c>
      <c r="I94" s="49">
        <f>C94-I$2</f>
        <v/>
      </c>
      <c r="J94" s="53">
        <f>IF(AND(E94&gt;=D94,E94&gt;=0),"P",IF(D94&gt;=0,"N","O"))</f>
        <v/>
      </c>
      <c r="K94" s="54">
        <f>IF(AND(F94&gt;=D94,F94&gt;=0),"P",IF(D94&gt;=0,"N","O"))</f>
        <v/>
      </c>
      <c r="L94" s="54">
        <f>IF(AND(G94&gt;=D94,G94&gt;=0),"P",IF(D94&gt;=0,"N","O"))</f>
        <v/>
      </c>
      <c r="M94" s="54">
        <f>IF(AND(H94&gt;=D94,H94&gt;=0),"P",IF(D94&gt;=0,"N","O"))</f>
        <v/>
      </c>
      <c r="N94" s="55">
        <f>IF(AND(I94&gt;=D94,I94&gt;=0),"P",IF(D94&gt;=0,"N","O"))</f>
        <v/>
      </c>
    </row>
    <row r="95" ht="21" customHeight="1">
      <c r="A95" s="18" t="n">
        <v>93</v>
      </c>
      <c r="B95" s="43">
        <f>MAX('Q1 WTP data'!B96:E96,'Q1 WTP data'!G96)</f>
        <v/>
      </c>
      <c r="C95" s="45">
        <f>'Q1 WTP data'!F96</f>
        <v/>
      </c>
      <c r="D95" s="48">
        <f>B95-D$2</f>
        <v/>
      </c>
      <c r="E95" s="49">
        <f>C95-E$2</f>
        <v/>
      </c>
      <c r="F95" s="49">
        <f>C95-F$2</f>
        <v/>
      </c>
      <c r="G95" s="49">
        <f>C95-G$2</f>
        <v/>
      </c>
      <c r="H95" s="49">
        <f>C95-H$2</f>
        <v/>
      </c>
      <c r="I95" s="49">
        <f>C95-I$2</f>
        <v/>
      </c>
      <c r="J95" s="53">
        <f>IF(AND(E95&gt;=D95,E95&gt;=0),"P",IF(D95&gt;=0,"N","O"))</f>
        <v/>
      </c>
      <c r="K95" s="54">
        <f>IF(AND(F95&gt;=D95,F95&gt;=0),"P",IF(D95&gt;=0,"N","O"))</f>
        <v/>
      </c>
      <c r="L95" s="54">
        <f>IF(AND(G95&gt;=D95,G95&gt;=0),"P",IF(D95&gt;=0,"N","O"))</f>
        <v/>
      </c>
      <c r="M95" s="54">
        <f>IF(AND(H95&gt;=D95,H95&gt;=0),"P",IF(D95&gt;=0,"N","O"))</f>
        <v/>
      </c>
      <c r="N95" s="55">
        <f>IF(AND(I95&gt;=D95,I95&gt;=0),"P",IF(D95&gt;=0,"N","O"))</f>
        <v/>
      </c>
    </row>
    <row r="96" ht="21" customHeight="1">
      <c r="A96" s="18" t="n">
        <v>94</v>
      </c>
      <c r="B96" s="43">
        <f>MAX('Q1 WTP data'!B97:E97,'Q1 WTP data'!G97)</f>
        <v/>
      </c>
      <c r="C96" s="45">
        <f>'Q1 WTP data'!F97</f>
        <v/>
      </c>
      <c r="D96" s="48">
        <f>B96-D$2</f>
        <v/>
      </c>
      <c r="E96" s="49">
        <f>C96-E$2</f>
        <v/>
      </c>
      <c r="F96" s="49">
        <f>C96-F$2</f>
        <v/>
      </c>
      <c r="G96" s="49">
        <f>C96-G$2</f>
        <v/>
      </c>
      <c r="H96" s="49">
        <f>C96-H$2</f>
        <v/>
      </c>
      <c r="I96" s="49">
        <f>C96-I$2</f>
        <v/>
      </c>
      <c r="J96" s="53">
        <f>IF(AND(E96&gt;=D96,E96&gt;=0),"P",IF(D96&gt;=0,"N","O"))</f>
        <v/>
      </c>
      <c r="K96" s="54">
        <f>IF(AND(F96&gt;=D96,F96&gt;=0),"P",IF(D96&gt;=0,"N","O"))</f>
        <v/>
      </c>
      <c r="L96" s="54">
        <f>IF(AND(G96&gt;=D96,G96&gt;=0),"P",IF(D96&gt;=0,"N","O"))</f>
        <v/>
      </c>
      <c r="M96" s="54">
        <f>IF(AND(H96&gt;=D96,H96&gt;=0),"P",IF(D96&gt;=0,"N","O"))</f>
        <v/>
      </c>
      <c r="N96" s="55">
        <f>IF(AND(I96&gt;=D96,I96&gt;=0),"P",IF(D96&gt;=0,"N","O"))</f>
        <v/>
      </c>
    </row>
    <row r="97" ht="21" customHeight="1">
      <c r="A97" s="18" t="n">
        <v>95</v>
      </c>
      <c r="B97" s="43">
        <f>MAX('Q1 WTP data'!B98:E98,'Q1 WTP data'!G98)</f>
        <v/>
      </c>
      <c r="C97" s="45">
        <f>'Q1 WTP data'!F98</f>
        <v/>
      </c>
      <c r="D97" s="48">
        <f>B97-D$2</f>
        <v/>
      </c>
      <c r="E97" s="49">
        <f>C97-E$2</f>
        <v/>
      </c>
      <c r="F97" s="49">
        <f>C97-F$2</f>
        <v/>
      </c>
      <c r="G97" s="49">
        <f>C97-G$2</f>
        <v/>
      </c>
      <c r="H97" s="49">
        <f>C97-H$2</f>
        <v/>
      </c>
      <c r="I97" s="49">
        <f>C97-I$2</f>
        <v/>
      </c>
      <c r="J97" s="53">
        <f>IF(AND(E97&gt;=D97,E97&gt;=0),"P",IF(D97&gt;=0,"N","O"))</f>
        <v/>
      </c>
      <c r="K97" s="54">
        <f>IF(AND(F97&gt;=D97,F97&gt;=0),"P",IF(D97&gt;=0,"N","O"))</f>
        <v/>
      </c>
      <c r="L97" s="54">
        <f>IF(AND(G97&gt;=D97,G97&gt;=0),"P",IF(D97&gt;=0,"N","O"))</f>
        <v/>
      </c>
      <c r="M97" s="54">
        <f>IF(AND(H97&gt;=D97,H97&gt;=0),"P",IF(D97&gt;=0,"N","O"))</f>
        <v/>
      </c>
      <c r="N97" s="55">
        <f>IF(AND(I97&gt;=D97,I97&gt;=0),"P",IF(D97&gt;=0,"N","O"))</f>
        <v/>
      </c>
    </row>
    <row r="98" ht="21" customHeight="1">
      <c r="A98" s="18" t="n">
        <v>96</v>
      </c>
      <c r="B98" s="43">
        <f>MAX('Q1 WTP data'!B99:E99,'Q1 WTP data'!G99)</f>
        <v/>
      </c>
      <c r="C98" s="45">
        <f>'Q1 WTP data'!F99</f>
        <v/>
      </c>
      <c r="D98" s="48">
        <f>B98-D$2</f>
        <v/>
      </c>
      <c r="E98" s="49">
        <f>C98-E$2</f>
        <v/>
      </c>
      <c r="F98" s="49">
        <f>C98-F$2</f>
        <v/>
      </c>
      <c r="G98" s="49">
        <f>C98-G$2</f>
        <v/>
      </c>
      <c r="H98" s="49">
        <f>C98-H$2</f>
        <v/>
      </c>
      <c r="I98" s="49">
        <f>C98-I$2</f>
        <v/>
      </c>
      <c r="J98" s="53">
        <f>IF(AND(E98&gt;=D98,E98&gt;=0),"P",IF(D98&gt;=0,"N","O"))</f>
        <v/>
      </c>
      <c r="K98" s="54">
        <f>IF(AND(F98&gt;=D98,F98&gt;=0),"P",IF(D98&gt;=0,"N","O"))</f>
        <v/>
      </c>
      <c r="L98" s="54">
        <f>IF(AND(G98&gt;=D98,G98&gt;=0),"P",IF(D98&gt;=0,"N","O"))</f>
        <v/>
      </c>
      <c r="M98" s="54">
        <f>IF(AND(H98&gt;=D98,H98&gt;=0),"P",IF(D98&gt;=0,"N","O"))</f>
        <v/>
      </c>
      <c r="N98" s="55">
        <f>IF(AND(I98&gt;=D98,I98&gt;=0),"P",IF(D98&gt;=0,"N","O"))</f>
        <v/>
      </c>
    </row>
    <row r="99" ht="21" customHeight="1">
      <c r="A99" s="18" t="n">
        <v>97</v>
      </c>
      <c r="B99" s="43">
        <f>MAX('Q1 WTP data'!B100:E100,'Q1 WTP data'!G100)</f>
        <v/>
      </c>
      <c r="C99" s="45">
        <f>'Q1 WTP data'!F100</f>
        <v/>
      </c>
      <c r="D99" s="48">
        <f>B99-D$2</f>
        <v/>
      </c>
      <c r="E99" s="49">
        <f>C99-E$2</f>
        <v/>
      </c>
      <c r="F99" s="49">
        <f>C99-F$2</f>
        <v/>
      </c>
      <c r="G99" s="49">
        <f>C99-G$2</f>
        <v/>
      </c>
      <c r="H99" s="49">
        <f>C99-H$2</f>
        <v/>
      </c>
      <c r="I99" s="49">
        <f>C99-I$2</f>
        <v/>
      </c>
      <c r="J99" s="53">
        <f>IF(AND(E99&gt;=D99,E99&gt;=0),"P",IF(D99&gt;=0,"N","O"))</f>
        <v/>
      </c>
      <c r="K99" s="54">
        <f>IF(AND(F99&gt;=D99,F99&gt;=0),"P",IF(D99&gt;=0,"N","O"))</f>
        <v/>
      </c>
      <c r="L99" s="54">
        <f>IF(AND(G99&gt;=D99,G99&gt;=0),"P",IF(D99&gt;=0,"N","O"))</f>
        <v/>
      </c>
      <c r="M99" s="54">
        <f>IF(AND(H99&gt;=D99,H99&gt;=0),"P",IF(D99&gt;=0,"N","O"))</f>
        <v/>
      </c>
      <c r="N99" s="55">
        <f>IF(AND(I99&gt;=D99,I99&gt;=0),"P",IF(D99&gt;=0,"N","O"))</f>
        <v/>
      </c>
    </row>
    <row r="100" ht="21" customHeight="1">
      <c r="A100" s="18" t="n">
        <v>98</v>
      </c>
      <c r="B100" s="43">
        <f>MAX('Q1 WTP data'!B101:E101,'Q1 WTP data'!G101)</f>
        <v/>
      </c>
      <c r="C100" s="45">
        <f>'Q1 WTP data'!F101</f>
        <v/>
      </c>
      <c r="D100" s="48">
        <f>B100-D$2</f>
        <v/>
      </c>
      <c r="E100" s="49">
        <f>C100-E$2</f>
        <v/>
      </c>
      <c r="F100" s="49">
        <f>C100-F$2</f>
        <v/>
      </c>
      <c r="G100" s="49">
        <f>C100-G$2</f>
        <v/>
      </c>
      <c r="H100" s="49">
        <f>C100-H$2</f>
        <v/>
      </c>
      <c r="I100" s="49">
        <f>C100-I$2</f>
        <v/>
      </c>
      <c r="J100" s="53">
        <f>IF(AND(E100&gt;=D100,E100&gt;=0),"P",IF(D100&gt;=0,"N","O"))</f>
        <v/>
      </c>
      <c r="K100" s="54">
        <f>IF(AND(F100&gt;=D100,F100&gt;=0),"P",IF(D100&gt;=0,"N","O"))</f>
        <v/>
      </c>
      <c r="L100" s="54">
        <f>IF(AND(G100&gt;=D100,G100&gt;=0),"P",IF(D100&gt;=0,"N","O"))</f>
        <v/>
      </c>
      <c r="M100" s="54">
        <f>IF(AND(H100&gt;=D100,H100&gt;=0),"P",IF(D100&gt;=0,"N","O"))</f>
        <v/>
      </c>
      <c r="N100" s="55">
        <f>IF(AND(I100&gt;=D100,I100&gt;=0),"P",IF(D100&gt;=0,"N","O"))</f>
        <v/>
      </c>
    </row>
    <row r="101" ht="21" customHeight="1">
      <c r="A101" s="18" t="n">
        <v>99</v>
      </c>
      <c r="B101" s="43">
        <f>MAX('Q1 WTP data'!B102:E102,'Q1 WTP data'!G102)</f>
        <v/>
      </c>
      <c r="C101" s="45">
        <f>'Q1 WTP data'!F102</f>
        <v/>
      </c>
      <c r="D101" s="48">
        <f>B101-D$2</f>
        <v/>
      </c>
      <c r="E101" s="49">
        <f>C101-E$2</f>
        <v/>
      </c>
      <c r="F101" s="49">
        <f>C101-F$2</f>
        <v/>
      </c>
      <c r="G101" s="49">
        <f>C101-G$2</f>
        <v/>
      </c>
      <c r="H101" s="49">
        <f>C101-H$2</f>
        <v/>
      </c>
      <c r="I101" s="49">
        <f>C101-I$2</f>
        <v/>
      </c>
      <c r="J101" s="53">
        <f>IF(AND(E101&gt;=D101,E101&gt;=0),"P",IF(D101&gt;=0,"N","O"))</f>
        <v/>
      </c>
      <c r="K101" s="54">
        <f>IF(AND(F101&gt;=D101,F101&gt;=0),"P",IF(D101&gt;=0,"N","O"))</f>
        <v/>
      </c>
      <c r="L101" s="54">
        <f>IF(AND(G101&gt;=D101,G101&gt;=0),"P",IF(D101&gt;=0,"N","O"))</f>
        <v/>
      </c>
      <c r="M101" s="54">
        <f>IF(AND(H101&gt;=D101,H101&gt;=0),"P",IF(D101&gt;=0,"N","O"))</f>
        <v/>
      </c>
      <c r="N101" s="55">
        <f>IF(AND(I101&gt;=D101,I101&gt;=0),"P",IF(D101&gt;=0,"N","O"))</f>
        <v/>
      </c>
    </row>
    <row r="102" ht="21" customHeight="1">
      <c r="A102" s="18" t="n">
        <v>100</v>
      </c>
      <c r="B102" s="43">
        <f>MAX('Q1 WTP data'!B103:E103,'Q1 WTP data'!G103)</f>
        <v/>
      </c>
      <c r="C102" s="45">
        <f>'Q1 WTP data'!F103</f>
        <v/>
      </c>
      <c r="D102" s="48">
        <f>B102-D$2</f>
        <v/>
      </c>
      <c r="E102" s="49">
        <f>C102-E$2</f>
        <v/>
      </c>
      <c r="F102" s="49">
        <f>C102-F$2</f>
        <v/>
      </c>
      <c r="G102" s="49">
        <f>C102-G$2</f>
        <v/>
      </c>
      <c r="H102" s="49">
        <f>C102-H$2</f>
        <v/>
      </c>
      <c r="I102" s="49">
        <f>C102-I$2</f>
        <v/>
      </c>
      <c r="J102" s="53">
        <f>IF(AND(E102&gt;=D102,E102&gt;=0),"P",IF(D102&gt;=0,"N","O"))</f>
        <v/>
      </c>
      <c r="K102" s="54">
        <f>IF(AND(F102&gt;=D102,F102&gt;=0),"P",IF(D102&gt;=0,"N","O"))</f>
        <v/>
      </c>
      <c r="L102" s="54">
        <f>IF(AND(G102&gt;=D102,G102&gt;=0),"P",IF(D102&gt;=0,"N","O"))</f>
        <v/>
      </c>
      <c r="M102" s="54">
        <f>IF(AND(H102&gt;=D102,H102&gt;=0),"P",IF(D102&gt;=0,"N","O"))</f>
        <v/>
      </c>
      <c r="N102" s="55">
        <f>IF(AND(I102&gt;=D102,I102&gt;=0),"P",IF(D102&gt;=0,"N","O"))</f>
        <v/>
      </c>
    </row>
    <row r="103" ht="21" customHeight="1">
      <c r="A103" s="18" t="n">
        <v>101</v>
      </c>
      <c r="B103" s="43">
        <f>MAX('Q1 WTP data'!B104:E104,'Q1 WTP data'!G104)</f>
        <v/>
      </c>
      <c r="C103" s="45">
        <f>'Q1 WTP data'!F104</f>
        <v/>
      </c>
      <c r="D103" s="48">
        <f>B103-D$2</f>
        <v/>
      </c>
      <c r="E103" s="49">
        <f>C103-E$2</f>
        <v/>
      </c>
      <c r="F103" s="49">
        <f>C103-F$2</f>
        <v/>
      </c>
      <c r="G103" s="49">
        <f>C103-G$2</f>
        <v/>
      </c>
      <c r="H103" s="49">
        <f>C103-H$2</f>
        <v/>
      </c>
      <c r="I103" s="49">
        <f>C103-I$2</f>
        <v/>
      </c>
      <c r="J103" s="53">
        <f>IF(AND(E103&gt;=D103,E103&gt;=0),"P",IF(D103&gt;=0,"N","O"))</f>
        <v/>
      </c>
      <c r="K103" s="54">
        <f>IF(AND(F103&gt;=D103,F103&gt;=0),"P",IF(D103&gt;=0,"N","O"))</f>
        <v/>
      </c>
      <c r="L103" s="54">
        <f>IF(AND(G103&gt;=D103,G103&gt;=0),"P",IF(D103&gt;=0,"N","O"))</f>
        <v/>
      </c>
      <c r="M103" s="54">
        <f>IF(AND(H103&gt;=D103,H103&gt;=0),"P",IF(D103&gt;=0,"N","O"))</f>
        <v/>
      </c>
      <c r="N103" s="55">
        <f>IF(AND(I103&gt;=D103,I103&gt;=0),"P",IF(D103&gt;=0,"N","O"))</f>
        <v/>
      </c>
    </row>
    <row r="104" ht="21" customHeight="1">
      <c r="A104" s="18" t="n">
        <v>102</v>
      </c>
      <c r="B104" s="43">
        <f>MAX('Q1 WTP data'!B105:E105,'Q1 WTP data'!G105)</f>
        <v/>
      </c>
      <c r="C104" s="45">
        <f>'Q1 WTP data'!F105</f>
        <v/>
      </c>
      <c r="D104" s="48">
        <f>B104-D$2</f>
        <v/>
      </c>
      <c r="E104" s="49">
        <f>C104-E$2</f>
        <v/>
      </c>
      <c r="F104" s="49">
        <f>C104-F$2</f>
        <v/>
      </c>
      <c r="G104" s="49">
        <f>C104-G$2</f>
        <v/>
      </c>
      <c r="H104" s="49">
        <f>C104-H$2</f>
        <v/>
      </c>
      <c r="I104" s="49">
        <f>C104-I$2</f>
        <v/>
      </c>
      <c r="J104" s="53">
        <f>IF(AND(E104&gt;=D104,E104&gt;=0),"P",IF(D104&gt;=0,"N","O"))</f>
        <v/>
      </c>
      <c r="K104" s="54">
        <f>IF(AND(F104&gt;=D104,F104&gt;=0),"P",IF(D104&gt;=0,"N","O"))</f>
        <v/>
      </c>
      <c r="L104" s="54">
        <f>IF(AND(G104&gt;=D104,G104&gt;=0),"P",IF(D104&gt;=0,"N","O"))</f>
        <v/>
      </c>
      <c r="M104" s="54">
        <f>IF(AND(H104&gt;=D104,H104&gt;=0),"P",IF(D104&gt;=0,"N","O"))</f>
        <v/>
      </c>
      <c r="N104" s="55">
        <f>IF(AND(I104&gt;=D104,I104&gt;=0),"P",IF(D104&gt;=0,"N","O"))</f>
        <v/>
      </c>
    </row>
    <row r="105" ht="21" customHeight="1">
      <c r="A105" s="18" t="n">
        <v>103</v>
      </c>
      <c r="B105" s="43">
        <f>MAX('Q1 WTP data'!B106:E106,'Q1 WTP data'!G106)</f>
        <v/>
      </c>
      <c r="C105" s="45">
        <f>'Q1 WTP data'!F106</f>
        <v/>
      </c>
      <c r="D105" s="48">
        <f>B105-D$2</f>
        <v/>
      </c>
      <c r="E105" s="49">
        <f>C105-E$2</f>
        <v/>
      </c>
      <c r="F105" s="49">
        <f>C105-F$2</f>
        <v/>
      </c>
      <c r="G105" s="49">
        <f>C105-G$2</f>
        <v/>
      </c>
      <c r="H105" s="49">
        <f>C105-H$2</f>
        <v/>
      </c>
      <c r="I105" s="49">
        <f>C105-I$2</f>
        <v/>
      </c>
      <c r="J105" s="53">
        <f>IF(AND(E105&gt;=D105,E105&gt;=0),"P",IF(D105&gt;=0,"N","O"))</f>
        <v/>
      </c>
      <c r="K105" s="54">
        <f>IF(AND(F105&gt;=D105,F105&gt;=0),"P",IF(D105&gt;=0,"N","O"))</f>
        <v/>
      </c>
      <c r="L105" s="54">
        <f>IF(AND(G105&gt;=D105,G105&gt;=0),"P",IF(D105&gt;=0,"N","O"))</f>
        <v/>
      </c>
      <c r="M105" s="54">
        <f>IF(AND(H105&gt;=D105,H105&gt;=0),"P",IF(D105&gt;=0,"N","O"))</f>
        <v/>
      </c>
      <c r="N105" s="55">
        <f>IF(AND(I105&gt;=D105,I105&gt;=0),"P",IF(D105&gt;=0,"N","O"))</f>
        <v/>
      </c>
    </row>
    <row r="106" ht="21" customHeight="1">
      <c r="A106" s="18" t="n">
        <v>104</v>
      </c>
      <c r="B106" s="43">
        <f>MAX('Q1 WTP data'!B107:E107,'Q1 WTP data'!G107)</f>
        <v/>
      </c>
      <c r="C106" s="45">
        <f>'Q1 WTP data'!F107</f>
        <v/>
      </c>
      <c r="D106" s="48">
        <f>B106-D$2</f>
        <v/>
      </c>
      <c r="E106" s="49">
        <f>C106-E$2</f>
        <v/>
      </c>
      <c r="F106" s="49">
        <f>C106-F$2</f>
        <v/>
      </c>
      <c r="G106" s="49">
        <f>C106-G$2</f>
        <v/>
      </c>
      <c r="H106" s="49">
        <f>C106-H$2</f>
        <v/>
      </c>
      <c r="I106" s="49">
        <f>C106-I$2</f>
        <v/>
      </c>
      <c r="J106" s="53">
        <f>IF(AND(E106&gt;=D106,E106&gt;=0),"P",IF(D106&gt;=0,"N","O"))</f>
        <v/>
      </c>
      <c r="K106" s="54">
        <f>IF(AND(F106&gt;=D106,F106&gt;=0),"P",IF(D106&gt;=0,"N","O"))</f>
        <v/>
      </c>
      <c r="L106" s="54">
        <f>IF(AND(G106&gt;=D106,G106&gt;=0),"P",IF(D106&gt;=0,"N","O"))</f>
        <v/>
      </c>
      <c r="M106" s="54">
        <f>IF(AND(H106&gt;=D106,H106&gt;=0),"P",IF(D106&gt;=0,"N","O"))</f>
        <v/>
      </c>
      <c r="N106" s="55">
        <f>IF(AND(I106&gt;=D106,I106&gt;=0),"P",IF(D106&gt;=0,"N","O"))</f>
        <v/>
      </c>
    </row>
    <row r="107" ht="21" customHeight="1">
      <c r="A107" s="18" t="n">
        <v>105</v>
      </c>
      <c r="B107" s="43">
        <f>MAX('Q1 WTP data'!B108:E108,'Q1 WTP data'!G108)</f>
        <v/>
      </c>
      <c r="C107" s="45">
        <f>'Q1 WTP data'!F108</f>
        <v/>
      </c>
      <c r="D107" s="48">
        <f>B107-D$2</f>
        <v/>
      </c>
      <c r="E107" s="49">
        <f>C107-E$2</f>
        <v/>
      </c>
      <c r="F107" s="49">
        <f>C107-F$2</f>
        <v/>
      </c>
      <c r="G107" s="49">
        <f>C107-G$2</f>
        <v/>
      </c>
      <c r="H107" s="49">
        <f>C107-H$2</f>
        <v/>
      </c>
      <c r="I107" s="49">
        <f>C107-I$2</f>
        <v/>
      </c>
      <c r="J107" s="53">
        <f>IF(AND(E107&gt;=D107,E107&gt;=0),"P",IF(D107&gt;=0,"N","O"))</f>
        <v/>
      </c>
      <c r="K107" s="54">
        <f>IF(AND(F107&gt;=D107,F107&gt;=0),"P",IF(D107&gt;=0,"N","O"))</f>
        <v/>
      </c>
      <c r="L107" s="54">
        <f>IF(AND(G107&gt;=D107,G107&gt;=0),"P",IF(D107&gt;=0,"N","O"))</f>
        <v/>
      </c>
      <c r="M107" s="54">
        <f>IF(AND(H107&gt;=D107,H107&gt;=0),"P",IF(D107&gt;=0,"N","O"))</f>
        <v/>
      </c>
      <c r="N107" s="55">
        <f>IF(AND(I107&gt;=D107,I107&gt;=0),"P",IF(D107&gt;=0,"N","O"))</f>
        <v/>
      </c>
    </row>
    <row r="108" ht="21" customHeight="1">
      <c r="A108" s="18" t="n">
        <v>106</v>
      </c>
      <c r="B108" s="43">
        <f>MAX('Q1 WTP data'!B109:E109,'Q1 WTP data'!G109)</f>
        <v/>
      </c>
      <c r="C108" s="45">
        <f>'Q1 WTP data'!F109</f>
        <v/>
      </c>
      <c r="D108" s="48">
        <f>B108-D$2</f>
        <v/>
      </c>
      <c r="E108" s="49">
        <f>C108-E$2</f>
        <v/>
      </c>
      <c r="F108" s="49">
        <f>C108-F$2</f>
        <v/>
      </c>
      <c r="G108" s="49">
        <f>C108-G$2</f>
        <v/>
      </c>
      <c r="H108" s="49">
        <f>C108-H$2</f>
        <v/>
      </c>
      <c r="I108" s="49">
        <f>C108-I$2</f>
        <v/>
      </c>
      <c r="J108" s="53">
        <f>IF(AND(E108&gt;=D108,E108&gt;=0),"P",IF(D108&gt;=0,"N","O"))</f>
        <v/>
      </c>
      <c r="K108" s="54">
        <f>IF(AND(F108&gt;=D108,F108&gt;=0),"P",IF(D108&gt;=0,"N","O"))</f>
        <v/>
      </c>
      <c r="L108" s="54">
        <f>IF(AND(G108&gt;=D108,G108&gt;=0),"P",IF(D108&gt;=0,"N","O"))</f>
        <v/>
      </c>
      <c r="M108" s="54">
        <f>IF(AND(H108&gt;=D108,H108&gt;=0),"P",IF(D108&gt;=0,"N","O"))</f>
        <v/>
      </c>
      <c r="N108" s="55">
        <f>IF(AND(I108&gt;=D108,I108&gt;=0),"P",IF(D108&gt;=0,"N","O"))</f>
        <v/>
      </c>
    </row>
    <row r="109" ht="21" customHeight="1">
      <c r="A109" s="18" t="n">
        <v>107</v>
      </c>
      <c r="B109" s="43">
        <f>MAX('Q1 WTP data'!B110:E110,'Q1 WTP data'!G110)</f>
        <v/>
      </c>
      <c r="C109" s="45">
        <f>'Q1 WTP data'!F110</f>
        <v/>
      </c>
      <c r="D109" s="48">
        <f>B109-D$2</f>
        <v/>
      </c>
      <c r="E109" s="49">
        <f>C109-E$2</f>
        <v/>
      </c>
      <c r="F109" s="49">
        <f>C109-F$2</f>
        <v/>
      </c>
      <c r="G109" s="49">
        <f>C109-G$2</f>
        <v/>
      </c>
      <c r="H109" s="49">
        <f>C109-H$2</f>
        <v/>
      </c>
      <c r="I109" s="49">
        <f>C109-I$2</f>
        <v/>
      </c>
      <c r="J109" s="53">
        <f>IF(AND(E109&gt;=D109,E109&gt;=0),"P",IF(D109&gt;=0,"N","O"))</f>
        <v/>
      </c>
      <c r="K109" s="54">
        <f>IF(AND(F109&gt;=D109,F109&gt;=0),"P",IF(D109&gt;=0,"N","O"))</f>
        <v/>
      </c>
      <c r="L109" s="54">
        <f>IF(AND(G109&gt;=D109,G109&gt;=0),"P",IF(D109&gt;=0,"N","O"))</f>
        <v/>
      </c>
      <c r="M109" s="54">
        <f>IF(AND(H109&gt;=D109,H109&gt;=0),"P",IF(D109&gt;=0,"N","O"))</f>
        <v/>
      </c>
      <c r="N109" s="55">
        <f>IF(AND(I109&gt;=D109,I109&gt;=0),"P",IF(D109&gt;=0,"N","O"))</f>
        <v/>
      </c>
    </row>
    <row r="110" ht="21" customHeight="1">
      <c r="A110" s="18" t="n">
        <v>108</v>
      </c>
      <c r="B110" s="43">
        <f>MAX('Q1 WTP data'!B111:E111,'Q1 WTP data'!G111)</f>
        <v/>
      </c>
      <c r="C110" s="45">
        <f>'Q1 WTP data'!F111</f>
        <v/>
      </c>
      <c r="D110" s="48">
        <f>B110-D$2</f>
        <v/>
      </c>
      <c r="E110" s="49">
        <f>C110-E$2</f>
        <v/>
      </c>
      <c r="F110" s="49">
        <f>C110-F$2</f>
        <v/>
      </c>
      <c r="G110" s="49">
        <f>C110-G$2</f>
        <v/>
      </c>
      <c r="H110" s="49">
        <f>C110-H$2</f>
        <v/>
      </c>
      <c r="I110" s="49">
        <f>C110-I$2</f>
        <v/>
      </c>
      <c r="J110" s="53">
        <f>IF(AND(E110&gt;=D110,E110&gt;=0),"P",IF(D110&gt;=0,"N","O"))</f>
        <v/>
      </c>
      <c r="K110" s="54">
        <f>IF(AND(F110&gt;=D110,F110&gt;=0),"P",IF(D110&gt;=0,"N","O"))</f>
        <v/>
      </c>
      <c r="L110" s="54">
        <f>IF(AND(G110&gt;=D110,G110&gt;=0),"P",IF(D110&gt;=0,"N","O"))</f>
        <v/>
      </c>
      <c r="M110" s="54">
        <f>IF(AND(H110&gt;=D110,H110&gt;=0),"P",IF(D110&gt;=0,"N","O"))</f>
        <v/>
      </c>
      <c r="N110" s="55">
        <f>IF(AND(I110&gt;=D110,I110&gt;=0),"P",IF(D110&gt;=0,"N","O"))</f>
        <v/>
      </c>
    </row>
    <row r="111" ht="21" customHeight="1">
      <c r="A111" s="18" t="n">
        <v>109</v>
      </c>
      <c r="B111" s="43">
        <f>MAX('Q1 WTP data'!B112:E112,'Q1 WTP data'!G112)</f>
        <v/>
      </c>
      <c r="C111" s="45">
        <f>'Q1 WTP data'!F112</f>
        <v/>
      </c>
      <c r="D111" s="48">
        <f>B111-D$2</f>
        <v/>
      </c>
      <c r="E111" s="49">
        <f>C111-E$2</f>
        <v/>
      </c>
      <c r="F111" s="49">
        <f>C111-F$2</f>
        <v/>
      </c>
      <c r="G111" s="49">
        <f>C111-G$2</f>
        <v/>
      </c>
      <c r="H111" s="49">
        <f>C111-H$2</f>
        <v/>
      </c>
      <c r="I111" s="49">
        <f>C111-I$2</f>
        <v/>
      </c>
      <c r="J111" s="53">
        <f>IF(AND(E111&gt;=D111,E111&gt;=0),"P",IF(D111&gt;=0,"N","O"))</f>
        <v/>
      </c>
      <c r="K111" s="54">
        <f>IF(AND(F111&gt;=D111,F111&gt;=0),"P",IF(D111&gt;=0,"N","O"))</f>
        <v/>
      </c>
      <c r="L111" s="54">
        <f>IF(AND(G111&gt;=D111,G111&gt;=0),"P",IF(D111&gt;=0,"N","O"))</f>
        <v/>
      </c>
      <c r="M111" s="54">
        <f>IF(AND(H111&gt;=D111,H111&gt;=0),"P",IF(D111&gt;=0,"N","O"))</f>
        <v/>
      </c>
      <c r="N111" s="55">
        <f>IF(AND(I111&gt;=D111,I111&gt;=0),"P",IF(D111&gt;=0,"N","O"))</f>
        <v/>
      </c>
    </row>
    <row r="112" ht="21" customHeight="1">
      <c r="A112" s="18" t="n">
        <v>110</v>
      </c>
      <c r="B112" s="43">
        <f>MAX('Q1 WTP data'!B113:E113,'Q1 WTP data'!G113)</f>
        <v/>
      </c>
      <c r="C112" s="45">
        <f>'Q1 WTP data'!F113</f>
        <v/>
      </c>
      <c r="D112" s="48">
        <f>B112-D$2</f>
        <v/>
      </c>
      <c r="E112" s="49">
        <f>C112-E$2</f>
        <v/>
      </c>
      <c r="F112" s="49">
        <f>C112-F$2</f>
        <v/>
      </c>
      <c r="G112" s="49">
        <f>C112-G$2</f>
        <v/>
      </c>
      <c r="H112" s="49">
        <f>C112-H$2</f>
        <v/>
      </c>
      <c r="I112" s="49">
        <f>C112-I$2</f>
        <v/>
      </c>
      <c r="J112" s="53">
        <f>IF(AND(E112&gt;=D112,E112&gt;=0),"P",IF(D112&gt;=0,"N","O"))</f>
        <v/>
      </c>
      <c r="K112" s="54">
        <f>IF(AND(F112&gt;=D112,F112&gt;=0),"P",IF(D112&gt;=0,"N","O"))</f>
        <v/>
      </c>
      <c r="L112" s="54">
        <f>IF(AND(G112&gt;=D112,G112&gt;=0),"P",IF(D112&gt;=0,"N","O"))</f>
        <v/>
      </c>
      <c r="M112" s="54">
        <f>IF(AND(H112&gt;=D112,H112&gt;=0),"P",IF(D112&gt;=0,"N","O"))</f>
        <v/>
      </c>
      <c r="N112" s="55">
        <f>IF(AND(I112&gt;=D112,I112&gt;=0),"P",IF(D112&gt;=0,"N","O"))</f>
        <v/>
      </c>
    </row>
    <row r="113" ht="21" customHeight="1">
      <c r="A113" s="18" t="n">
        <v>111</v>
      </c>
      <c r="B113" s="43">
        <f>MAX('Q1 WTP data'!B114:E114,'Q1 WTP data'!G114)</f>
        <v/>
      </c>
      <c r="C113" s="45">
        <f>'Q1 WTP data'!F114</f>
        <v/>
      </c>
      <c r="D113" s="48">
        <f>B113-D$2</f>
        <v/>
      </c>
      <c r="E113" s="49">
        <f>C113-E$2</f>
        <v/>
      </c>
      <c r="F113" s="49">
        <f>C113-F$2</f>
        <v/>
      </c>
      <c r="G113" s="49">
        <f>C113-G$2</f>
        <v/>
      </c>
      <c r="H113" s="49">
        <f>C113-H$2</f>
        <v/>
      </c>
      <c r="I113" s="49">
        <f>C113-I$2</f>
        <v/>
      </c>
      <c r="J113" s="53">
        <f>IF(AND(E113&gt;=D113,E113&gt;=0),"P",IF(D113&gt;=0,"N","O"))</f>
        <v/>
      </c>
      <c r="K113" s="54">
        <f>IF(AND(F113&gt;=D113,F113&gt;=0),"P",IF(D113&gt;=0,"N","O"))</f>
        <v/>
      </c>
      <c r="L113" s="54">
        <f>IF(AND(G113&gt;=D113,G113&gt;=0),"P",IF(D113&gt;=0,"N","O"))</f>
        <v/>
      </c>
      <c r="M113" s="54">
        <f>IF(AND(H113&gt;=D113,H113&gt;=0),"P",IF(D113&gt;=0,"N","O"))</f>
        <v/>
      </c>
      <c r="N113" s="55">
        <f>IF(AND(I113&gt;=D113,I113&gt;=0),"P",IF(D113&gt;=0,"N","O"))</f>
        <v/>
      </c>
    </row>
    <row r="114" ht="21" customHeight="1">
      <c r="A114" s="18" t="n">
        <v>112</v>
      </c>
      <c r="B114" s="43">
        <f>MAX('Q1 WTP data'!B115:E115,'Q1 WTP data'!G115)</f>
        <v/>
      </c>
      <c r="C114" s="45">
        <f>'Q1 WTP data'!F115</f>
        <v/>
      </c>
      <c r="D114" s="48">
        <f>B114-D$2</f>
        <v/>
      </c>
      <c r="E114" s="49">
        <f>C114-E$2</f>
        <v/>
      </c>
      <c r="F114" s="49">
        <f>C114-F$2</f>
        <v/>
      </c>
      <c r="G114" s="49">
        <f>C114-G$2</f>
        <v/>
      </c>
      <c r="H114" s="49">
        <f>C114-H$2</f>
        <v/>
      </c>
      <c r="I114" s="49">
        <f>C114-I$2</f>
        <v/>
      </c>
      <c r="J114" s="53">
        <f>IF(AND(E114&gt;=D114,E114&gt;=0),"P",IF(D114&gt;=0,"N","O"))</f>
        <v/>
      </c>
      <c r="K114" s="54">
        <f>IF(AND(F114&gt;=D114,F114&gt;=0),"P",IF(D114&gt;=0,"N","O"))</f>
        <v/>
      </c>
      <c r="L114" s="54">
        <f>IF(AND(G114&gt;=D114,G114&gt;=0),"P",IF(D114&gt;=0,"N","O"))</f>
        <v/>
      </c>
      <c r="M114" s="54">
        <f>IF(AND(H114&gt;=D114,H114&gt;=0),"P",IF(D114&gt;=0,"N","O"))</f>
        <v/>
      </c>
      <c r="N114" s="55">
        <f>IF(AND(I114&gt;=D114,I114&gt;=0),"P",IF(D114&gt;=0,"N","O"))</f>
        <v/>
      </c>
    </row>
    <row r="115" ht="21" customHeight="1" thickBot="1">
      <c r="A115" s="21" t="n">
        <v>113</v>
      </c>
      <c r="B115" s="44">
        <f>MAX('Q1 WTP data'!B116:E116,'Q1 WTP data'!G116)</f>
        <v/>
      </c>
      <c r="C115" s="46">
        <f>'Q1 WTP data'!F116</f>
        <v/>
      </c>
      <c r="D115" s="50">
        <f>B115-D$2</f>
        <v/>
      </c>
      <c r="E115" s="51">
        <f>C115-E$2</f>
        <v/>
      </c>
      <c r="F115" s="51">
        <f>C115-F$2</f>
        <v/>
      </c>
      <c r="G115" s="51">
        <f>C115-G$2</f>
        <v/>
      </c>
      <c r="H115" s="51">
        <f>C115-H$2</f>
        <v/>
      </c>
      <c r="I115" s="51">
        <f>C115-I$2</f>
        <v/>
      </c>
      <c r="J115" s="56">
        <f>IF(AND(E115&gt;=D115,E115&gt;=0),"P",IF(D115&gt;=0,"N","O"))</f>
        <v/>
      </c>
      <c r="K115" s="57">
        <f>IF(AND(F115&gt;=D115,F115&gt;=0),"P",IF(D115&gt;=0,"N","O"))</f>
        <v/>
      </c>
      <c r="L115" s="57">
        <f>IF(AND(G115&gt;=D115,G115&gt;=0),"P",IF(D115&gt;=0,"N","O"))</f>
        <v/>
      </c>
      <c r="M115" s="57">
        <f>IF(AND(H115&gt;=D115,H115&gt;=0),"P",IF(D115&gt;=0,"N","O"))</f>
        <v/>
      </c>
      <c r="N115" s="58">
        <f>IF(AND(I115&gt;=D115,I115&gt;=0),"P",IF(D115&gt;=0,"N","O"))</f>
        <v/>
      </c>
    </row>
    <row r="122" ht="21" customHeight="1">
      <c r="B122" s="193" t="n"/>
      <c r="C122" s="193" t="n"/>
    </row>
    <row r="123" ht="21" customHeight="1">
      <c r="B123" s="193" t="n"/>
      <c r="C123" s="193" t="n"/>
    </row>
    <row r="126" ht="21" customHeight="1">
      <c r="D126" s="22" t="n"/>
    </row>
    <row r="127" ht="21" customHeight="1">
      <c r="D127" s="22" t="n"/>
    </row>
    <row r="128" ht="21" customHeight="1">
      <c r="D128" s="22" t="n"/>
    </row>
    <row r="129" ht="21" customHeight="1">
      <c r="D129" s="22" t="n"/>
    </row>
    <row r="130" ht="21" customHeight="1">
      <c r="D130" s="22" t="n"/>
    </row>
    <row r="131" ht="21" customHeight="1">
      <c r="D131" s="22" t="n"/>
    </row>
  </sheetData>
  <mergeCells count="4">
    <mergeCell ref="E1:I1"/>
    <mergeCell ref="B1:C1"/>
    <mergeCell ref="O1:U1"/>
    <mergeCell ref="J1:N1"/>
  </mergeCells>
  <conditionalFormatting sqref="J3:N115">
    <cfRule type="cellIs" priority="1" operator="equal" dxfId="2" stopIfTrue="1">
      <formula>"B"</formula>
    </cfRule>
    <cfRule type="cellIs" priority="2" operator="equal" dxfId="1" stopIfTrue="1">
      <formula>"O"</formula>
    </cfRule>
    <cfRule type="cellIs" priority="3" operator="equal" dxfId="0" stopIfTrue="1">
      <formula>"N"</formula>
    </cfRule>
  </conditionalFormatting>
  <pageMargins left="0.75" right="0.75" top="1" bottom="1" header="0.5" footer="0.5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40" zoomScaleNormal="140" workbookViewId="0">
      <selection activeCell="B6" sqref="B6:G6"/>
    </sheetView>
  </sheetViews>
  <sheetFormatPr baseColWidth="10" defaultColWidth="8.83203125" defaultRowHeight="13"/>
  <cols>
    <col width="2.5" customWidth="1" style="93" min="1" max="1"/>
    <col width="24.33203125" bestFit="1" customWidth="1" style="93" min="2" max="2"/>
    <col width="18.5" bestFit="1" customWidth="1" style="93" min="3" max="3"/>
    <col width="28.33203125" bestFit="1" customWidth="1" style="83" min="4" max="4"/>
    <col width="29.1640625" bestFit="1" customWidth="1" style="93" min="5" max="5"/>
    <col width="17.6640625" bestFit="1" customWidth="1" style="93" min="6" max="6"/>
    <col width="17.83203125" bestFit="1" customWidth="1" style="93" min="7" max="7"/>
    <col width="8.83203125" customWidth="1" style="93" min="8" max="16384"/>
  </cols>
  <sheetData>
    <row r="1">
      <c r="B1" s="88" t="inlineStr">
        <is>
          <t>Total Population</t>
        </is>
      </c>
      <c r="D1" s="83">
        <f>'Q1'!B3</f>
        <v/>
      </c>
    </row>
    <row r="2">
      <c r="B2" s="88" t="inlineStr">
        <is>
          <t>Total Customers in sample</t>
        </is>
      </c>
      <c r="D2" s="83" t="n">
        <v>113</v>
      </c>
    </row>
    <row r="3">
      <c r="B3" s="88" t="inlineStr">
        <is>
          <t>Total Students in sample</t>
        </is>
      </c>
      <c r="D3" s="89" t="n">
        <v>33</v>
      </c>
    </row>
    <row r="4">
      <c r="B4" s="88" t="inlineStr">
        <is>
          <t>Total Student Population</t>
        </is>
      </c>
      <c r="D4" s="90">
        <f>D3/D2*D1</f>
        <v/>
      </c>
    </row>
    <row r="5" customFormat="1" s="274">
      <c r="D5" s="275" t="n"/>
      <c r="E5" s="274" t="n"/>
      <c r="F5" s="274" t="n"/>
      <c r="G5" s="274" t="n"/>
    </row>
    <row r="6" ht="60" customFormat="1" customHeight="1" s="274">
      <c r="A6" s="276" t="n"/>
      <c r="B6" s="213" t="inlineStr">
        <is>
          <t>Price</t>
        </is>
      </c>
      <c r="C6" s="213" t="inlineStr">
        <is>
          <t># student respondents with WTP = Price</t>
        </is>
      </c>
      <c r="D6" s="213" t="inlineStr">
        <is>
          <t># of student respondents willing to pay at least the price</t>
        </is>
      </c>
      <c r="E6" s="213" t="inlineStr">
        <is>
          <t>% of student respondents willing to pay at least the price</t>
        </is>
      </c>
      <c r="F6" s="213" t="inlineStr">
        <is>
          <t>Total demand</t>
        </is>
      </c>
      <c r="G6" s="213" t="inlineStr">
        <is>
          <t>Total revenue</t>
        </is>
      </c>
    </row>
    <row r="7">
      <c r="B7" s="277" t="n">
        <v>150</v>
      </c>
      <c r="C7" s="220">
        <f>COUNTIF('Q3-Student WTP'!$H$4:$H$36,B7)</f>
        <v/>
      </c>
      <c r="D7" s="220">
        <f>COUNTIF('Q3-Student WTP'!$H$4:$H$36,"&gt;="&amp;B7)</f>
        <v/>
      </c>
      <c r="E7" s="221">
        <f>D7/D$3</f>
        <v/>
      </c>
      <c r="F7" s="222">
        <f>E7*D$4</f>
        <v/>
      </c>
      <c r="G7" s="223">
        <f>B7*F7</f>
        <v/>
      </c>
    </row>
    <row r="8">
      <c r="B8" s="277" t="n">
        <v>125</v>
      </c>
      <c r="C8" s="220">
        <f>COUNTIF('Q3-Student WTP'!$H$4:$H$36,B8)</f>
        <v/>
      </c>
      <c r="D8" s="220">
        <f>COUNTIF('Q3-Student WTP'!$H$4:$H$36,"&gt;="&amp;B8)</f>
        <v/>
      </c>
      <c r="E8" s="221">
        <f>D8/D$3</f>
        <v/>
      </c>
      <c r="F8" s="222">
        <f>E8*D$4</f>
        <v/>
      </c>
      <c r="G8" s="223">
        <f>B8*F8</f>
        <v/>
      </c>
    </row>
    <row r="9">
      <c r="B9" s="277" t="n">
        <v>100</v>
      </c>
      <c r="C9" s="220">
        <f>COUNTIF('Q3-Student WTP'!$H$4:$H$36,B9)</f>
        <v/>
      </c>
      <c r="D9" s="220">
        <f>COUNTIF('Q3-Student WTP'!$H$4:$H$36,"&gt;="&amp;B9)</f>
        <v/>
      </c>
      <c r="E9" s="221">
        <f>D9/D$3</f>
        <v/>
      </c>
      <c r="F9" s="222">
        <f>E9*D$4</f>
        <v/>
      </c>
      <c r="G9" s="223">
        <f>B9*F9</f>
        <v/>
      </c>
    </row>
    <row r="10">
      <c r="B10" s="277" t="n">
        <v>75</v>
      </c>
      <c r="C10" s="220">
        <f>COUNTIF('Q3-Student WTP'!$H$4:$H$36,B10)</f>
        <v/>
      </c>
      <c r="D10" s="220">
        <f>COUNTIF('Q3-Student WTP'!$H$4:$H$36,"&gt;="&amp;B10)</f>
        <v/>
      </c>
      <c r="E10" s="221">
        <f>D10/D$3</f>
        <v/>
      </c>
      <c r="F10" s="222">
        <f>E10*D$4</f>
        <v/>
      </c>
      <c r="G10" s="223">
        <f>B10*F10</f>
        <v/>
      </c>
    </row>
    <row r="11">
      <c r="B11" s="277" t="n">
        <v>50</v>
      </c>
      <c r="C11" s="220">
        <f>COUNTIF('Q3-Student WTP'!$H$4:$H$36,B11)</f>
        <v/>
      </c>
      <c r="D11" s="220">
        <f>COUNTIF('Q3-Student WTP'!$H$4:$H$36,"&gt;="&amp;B11)</f>
        <v/>
      </c>
      <c r="E11" s="221">
        <f>D11/D$3</f>
        <v/>
      </c>
      <c r="F11" s="222">
        <f>E11*D$4</f>
        <v/>
      </c>
      <c r="G11" s="223">
        <f>B11*F11</f>
        <v/>
      </c>
    </row>
    <row r="12">
      <c r="B12" s="277" t="n">
        <v>25</v>
      </c>
      <c r="C12" s="220">
        <f>COUNTIF('Q3-Student WTP'!$H$4:$H$36,B12)</f>
        <v/>
      </c>
      <c r="D12" s="220">
        <f>COUNTIF('Q3-Student WTP'!$H$4:$H$36,"&gt;="&amp;B12)</f>
        <v/>
      </c>
      <c r="E12" s="221">
        <f>D12/D$3</f>
        <v/>
      </c>
      <c r="F12" s="222">
        <f>E12*D$4</f>
        <v/>
      </c>
      <c r="G12" s="223">
        <f>B12*F12</f>
        <v/>
      </c>
    </row>
    <row r="13">
      <c r="B13" s="82" t="n"/>
      <c r="C13" s="82" t="n"/>
      <c r="D13" s="82" t="n"/>
      <c r="E13" s="8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zoomScale="130" zoomScaleNormal="130" workbookViewId="0">
      <selection activeCell="C24" sqref="C24"/>
    </sheetView>
  </sheetViews>
  <sheetFormatPr baseColWidth="10" defaultColWidth="8.83203125" defaultRowHeight="13"/>
  <cols>
    <col width="9.83203125" bestFit="1" customWidth="1" style="93" min="1" max="1"/>
    <col width="27.5" bestFit="1" customWidth="1" style="93" min="2" max="2"/>
    <col width="18.5" bestFit="1" customWidth="1" style="93" min="3" max="3"/>
    <col width="28.33203125" bestFit="1" customWidth="1" style="83" min="4" max="4"/>
    <col width="29.1640625" bestFit="1" customWidth="1" style="93" min="5" max="5"/>
    <col width="17.6640625" bestFit="1" customWidth="1" style="93" min="6" max="6"/>
    <col width="17.83203125" bestFit="1" customWidth="1" style="93" min="7" max="7"/>
    <col width="9.5" bestFit="1" customWidth="1" style="91" min="8" max="8"/>
    <col width="5.5" bestFit="1" customWidth="1" style="93" min="9" max="9"/>
    <col width="3.5" bestFit="1" customWidth="1" style="278" min="10" max="10"/>
    <col width="3.5" bestFit="1" customWidth="1" style="93" min="11" max="11"/>
    <col width="3.5" bestFit="1" customWidth="1" style="278" min="12" max="12"/>
    <col width="3.5" bestFit="1" customWidth="1" style="93" min="13" max="15"/>
    <col width="8.83203125" customWidth="1" style="93" min="16" max="16384"/>
  </cols>
  <sheetData>
    <row r="1">
      <c r="B1" s="88" t="inlineStr">
        <is>
          <t>Total Population</t>
        </is>
      </c>
      <c r="D1" s="83">
        <f>'Q1'!B3</f>
        <v/>
      </c>
    </row>
    <row r="2">
      <c r="B2" s="88" t="inlineStr">
        <is>
          <t>Total Customers in sample</t>
        </is>
      </c>
      <c r="D2" s="83" t="n">
        <v>113</v>
      </c>
    </row>
    <row r="3">
      <c r="B3" s="88" t="inlineStr">
        <is>
          <t>Total Non-Students in sample</t>
        </is>
      </c>
      <c r="D3" s="89" t="n">
        <v>80</v>
      </c>
    </row>
    <row r="4">
      <c r="B4" s="88" t="inlineStr">
        <is>
          <t>Total Non-Student Population</t>
        </is>
      </c>
      <c r="D4" s="90">
        <f>D3/D2*D1</f>
        <v/>
      </c>
    </row>
    <row r="5" customFormat="1" s="274">
      <c r="D5" s="275" t="n"/>
      <c r="E5" s="274" t="n"/>
    </row>
    <row r="6" ht="60" customFormat="1" customHeight="1" s="274">
      <c r="A6" s="276" t="n"/>
      <c r="B6" s="213" t="inlineStr">
        <is>
          <t>Price</t>
        </is>
      </c>
      <c r="C6" s="213" t="inlineStr">
        <is>
          <t># non-student respondents with WTP = Price</t>
        </is>
      </c>
      <c r="D6" s="213" t="inlineStr">
        <is>
          <t># of non-student respondents willing to pay at least the price</t>
        </is>
      </c>
      <c r="E6" s="213" t="inlineStr">
        <is>
          <t>% of non-student respondents willing to pay at least the price</t>
        </is>
      </c>
      <c r="F6" s="213" t="inlineStr">
        <is>
          <t>Total demand</t>
        </is>
      </c>
      <c r="G6" s="213" t="inlineStr">
        <is>
          <t>Total revenue</t>
        </is>
      </c>
    </row>
    <row r="7">
      <c r="B7" s="224" t="n">
        <v>150</v>
      </c>
      <c r="C7" s="220">
        <f>COUNTIF('Q3-NonStudent WTP'!$H$4:$H$83,B7)</f>
        <v/>
      </c>
      <c r="D7" s="220">
        <f>COUNTIF('Q3-NonStudent WTP'!$H$4:$H$83,"&gt;="&amp;B7)</f>
        <v/>
      </c>
      <c r="E7" s="221">
        <f>D7/D$3</f>
        <v/>
      </c>
      <c r="F7" s="222">
        <f>E7*D$4</f>
        <v/>
      </c>
      <c r="G7" s="223">
        <f>B7*F7</f>
        <v/>
      </c>
      <c r="H7" s="93" t="n"/>
      <c r="J7" s="93" t="n"/>
      <c r="L7" s="93" t="n"/>
    </row>
    <row r="8">
      <c r="B8" s="224" t="n">
        <v>125</v>
      </c>
      <c r="C8" s="220">
        <f>COUNTIF('Q3-NonStudent WTP'!$H$4:$H$83,B8)</f>
        <v/>
      </c>
      <c r="D8" s="220">
        <f>COUNTIF('Q3-NonStudent WTP'!$H$4:$H$83,"&gt;="&amp;B8)</f>
        <v/>
      </c>
      <c r="E8" s="221">
        <f>D8/D$3</f>
        <v/>
      </c>
      <c r="F8" s="222">
        <f>E8*D$4</f>
        <v/>
      </c>
      <c r="G8" s="223">
        <f>B8*F8</f>
        <v/>
      </c>
      <c r="H8" s="93" t="n"/>
      <c r="J8" s="93" t="n"/>
      <c r="L8" s="93" t="n"/>
    </row>
    <row r="9">
      <c r="B9" s="224" t="n">
        <v>100</v>
      </c>
      <c r="C9" s="220">
        <f>COUNTIF('Q3-NonStudent WTP'!$H$4:$H$83,B9)</f>
        <v/>
      </c>
      <c r="D9" s="220">
        <f>COUNTIF('Q3-NonStudent WTP'!$H$4:$H$83,"&gt;="&amp;B9)</f>
        <v/>
      </c>
      <c r="E9" s="221">
        <f>D9/D$3</f>
        <v/>
      </c>
      <c r="F9" s="222">
        <f>E9*D$4</f>
        <v/>
      </c>
      <c r="G9" s="223">
        <f>B9*F9</f>
        <v/>
      </c>
      <c r="H9" s="93" t="n"/>
      <c r="J9" s="93" t="n"/>
      <c r="L9" s="93" t="n"/>
    </row>
    <row r="10">
      <c r="B10" s="224" t="n">
        <v>75</v>
      </c>
      <c r="C10" s="220">
        <f>COUNTIF('Q3-NonStudent WTP'!$H$4:$H$83,B10)</f>
        <v/>
      </c>
      <c r="D10" s="220">
        <f>COUNTIF('Q3-NonStudent WTP'!$H$4:$H$83,"&gt;="&amp;B10)</f>
        <v/>
      </c>
      <c r="E10" s="221">
        <f>D10/D$3</f>
        <v/>
      </c>
      <c r="F10" s="222">
        <f>E10*D$4</f>
        <v/>
      </c>
      <c r="G10" s="223">
        <f>B10*F10</f>
        <v/>
      </c>
      <c r="H10" s="93" t="n"/>
      <c r="J10" s="93" t="n"/>
      <c r="L10" s="93" t="n"/>
    </row>
    <row r="11">
      <c r="B11" s="224" t="n">
        <v>50</v>
      </c>
      <c r="C11" s="220">
        <f>COUNTIF('Q3-NonStudent WTP'!$H$4:$H$83,B11)</f>
        <v/>
      </c>
      <c r="D11" s="220">
        <f>COUNTIF('Q3-NonStudent WTP'!$H$4:$H$83,"&gt;="&amp;B11)</f>
        <v/>
      </c>
      <c r="E11" s="221">
        <f>D11/D$3</f>
        <v/>
      </c>
      <c r="F11" s="222">
        <f>E11*D$4</f>
        <v/>
      </c>
      <c r="G11" s="223">
        <f>B11*F11</f>
        <v/>
      </c>
      <c r="H11" s="93" t="n"/>
      <c r="J11" s="93" t="n"/>
      <c r="L11" s="93" t="n"/>
    </row>
    <row r="12">
      <c r="B12" s="224" t="n">
        <v>25</v>
      </c>
      <c r="C12" s="220">
        <f>COUNTIF('Q3-NonStudent WTP'!$H$4:$H$83,B12)</f>
        <v/>
      </c>
      <c r="D12" s="220">
        <f>COUNTIF('Q3-NonStudent WTP'!$H$4:$H$83,"&gt;="&amp;B12)</f>
        <v/>
      </c>
      <c r="E12" s="221">
        <f>D12/D$3</f>
        <v/>
      </c>
      <c r="F12" s="222">
        <f>E12*D$4</f>
        <v/>
      </c>
      <c r="G12" s="223">
        <f>B12*F12</f>
        <v/>
      </c>
      <c r="H12" s="93" t="n"/>
      <c r="J12" s="93" t="n"/>
      <c r="L12" s="93" t="n"/>
    </row>
    <row r="13">
      <c r="B13" s="82" t="n"/>
      <c r="C13" s="82" t="n"/>
      <c r="D13" s="82" t="n"/>
      <c r="E13" s="82" t="n"/>
      <c r="H13" s="93" t="n"/>
      <c r="J13" s="93" t="n"/>
      <c r="L13" s="93" t="n"/>
    </row>
    <row r="14">
      <c r="H14" s="93" t="n"/>
      <c r="J14" s="93" t="n"/>
      <c r="L14" s="93" t="n"/>
    </row>
    <row r="15">
      <c r="H15" s="93" t="n"/>
      <c r="J15" s="93" t="n"/>
      <c r="L15" s="93" t="n"/>
    </row>
    <row r="16">
      <c r="H16" s="93" t="n"/>
      <c r="J16" s="93" t="n"/>
      <c r="L16" s="93" t="n"/>
    </row>
    <row r="17">
      <c r="H17" s="93" t="n"/>
      <c r="J17" s="93" t="n"/>
      <c r="L17" s="93" t="n"/>
    </row>
    <row r="18">
      <c r="H18" s="93" t="n"/>
      <c r="J18" s="93" t="n"/>
      <c r="L18" s="93" t="n"/>
    </row>
    <row r="19">
      <c r="H19" s="93" t="n"/>
      <c r="J19" s="93" t="n"/>
      <c r="L19" s="93" t="n"/>
    </row>
    <row r="20">
      <c r="H20" s="93" t="n"/>
      <c r="J20" s="93" t="n"/>
      <c r="L20" s="93" t="n"/>
    </row>
    <row r="21">
      <c r="H21" s="93" t="n"/>
      <c r="J21" s="93" t="n"/>
      <c r="L21" s="93" t="n"/>
    </row>
    <row r="22">
      <c r="H22" s="93" t="n"/>
      <c r="J22" s="93" t="n"/>
      <c r="L22" s="93" t="n"/>
    </row>
    <row r="23">
      <c r="H23" s="93" t="n"/>
      <c r="J23" s="93" t="n"/>
      <c r="L23" s="93" t="n"/>
    </row>
    <row r="24">
      <c r="H24" s="93" t="n"/>
      <c r="J24" s="93" t="n"/>
      <c r="L24" s="93" t="n"/>
    </row>
    <row r="25">
      <c r="H25" s="93" t="n"/>
      <c r="J25" s="93" t="n"/>
      <c r="L25" s="93" t="n"/>
    </row>
    <row r="26">
      <c r="H26" s="93" t="n"/>
      <c r="J26" s="93" t="n"/>
      <c r="L26" s="93" t="n"/>
    </row>
    <row r="27">
      <c r="G27" s="93" t="n"/>
      <c r="H27" s="94" t="n"/>
      <c r="I27" s="95" t="n"/>
      <c r="J27" s="95" t="n"/>
      <c r="K27" s="278" t="n"/>
      <c r="L27" s="279" t="n"/>
      <c r="M27" s="278" t="n"/>
    </row>
    <row r="28">
      <c r="J28" s="93" t="n"/>
    </row>
    <row r="29">
      <c r="J29" s="93" t="n"/>
    </row>
    <row r="30">
      <c r="J30" s="93" t="n"/>
    </row>
    <row r="31">
      <c r="J31" s="93" t="n"/>
    </row>
    <row r="32">
      <c r="J32" s="93" t="n"/>
    </row>
    <row r="33">
      <c r="B33" s="88" t="n"/>
      <c r="C33" s="98" t="n"/>
      <c r="J33" s="93" t="n"/>
    </row>
    <row r="34">
      <c r="B34" s="88" t="n"/>
      <c r="J34" s="93" t="n"/>
    </row>
    <row r="35">
      <c r="B35" s="88" t="n"/>
      <c r="J35" s="93" t="n"/>
    </row>
    <row r="36">
      <c r="B36" s="88" t="n"/>
      <c r="J36" s="93" t="n"/>
    </row>
    <row r="37">
      <c r="J37" s="93" t="n"/>
    </row>
    <row r="38">
      <c r="C38" s="87" t="n"/>
      <c r="D38" s="87" t="n"/>
      <c r="E38" s="87" t="n"/>
      <c r="F38" s="87" t="n"/>
      <c r="G38" s="87" t="n"/>
      <c r="H38" s="87" t="n"/>
      <c r="J38" s="93" t="n"/>
    </row>
    <row r="39">
      <c r="A39" s="88" t="n"/>
      <c r="B39" s="88" t="n"/>
      <c r="C39" s="91" t="n"/>
      <c r="D39" s="91" t="n"/>
      <c r="E39" s="91" t="n"/>
      <c r="F39" s="91" t="n"/>
      <c r="G39" s="99" t="n"/>
      <c r="J39" s="280" t="n"/>
      <c r="K39" s="280" t="n"/>
      <c r="L39" s="280" t="n"/>
      <c r="M39" s="280" t="n"/>
      <c r="N39" s="281" t="n"/>
      <c r="O39" s="280" t="n"/>
      <c r="P39" s="278" t="n"/>
    </row>
    <row r="40">
      <c r="B40" s="88" t="n"/>
      <c r="C40" s="91" t="n"/>
      <c r="D40" s="91" t="n"/>
      <c r="E40" s="91" t="n"/>
      <c r="F40" s="91" t="n"/>
      <c r="G40" s="91" t="n"/>
    </row>
    <row r="41">
      <c r="B41" s="88" t="n"/>
      <c r="C41" s="91" t="n"/>
      <c r="D41" s="91" t="n"/>
      <c r="E41" s="91" t="n"/>
      <c r="F41" s="91" t="n"/>
      <c r="G41" s="91" t="n"/>
    </row>
    <row r="42">
      <c r="A42" s="88" t="n"/>
      <c r="B42" s="88" t="n"/>
      <c r="C42" s="91" t="n"/>
      <c r="D42" s="91" t="n"/>
      <c r="E42" s="91" t="n"/>
      <c r="F42" s="91" t="n"/>
      <c r="G42" s="91" t="n"/>
      <c r="J42" s="282" t="n"/>
      <c r="K42" s="282" t="n"/>
      <c r="L42" s="282" t="n"/>
      <c r="M42" s="282" t="n"/>
      <c r="N42" s="282" t="n"/>
      <c r="O42" s="282" t="n"/>
    </row>
    <row r="43">
      <c r="B43" s="88" t="n"/>
      <c r="C43" s="91" t="n"/>
      <c r="D43" s="91" t="n"/>
      <c r="E43" s="91" t="n"/>
      <c r="F43" s="91" t="n"/>
      <c r="G43" s="91" t="n"/>
    </row>
    <row r="44">
      <c r="C44" s="91" t="n"/>
      <c r="D44" s="91" t="n"/>
      <c r="E44" s="91" t="n"/>
      <c r="F44" s="91" t="n"/>
      <c r="G44" s="99" t="n"/>
      <c r="J44" s="282" t="n"/>
      <c r="K44" s="282" t="n"/>
      <c r="L44" s="282" t="n"/>
      <c r="M44" s="282" t="n"/>
      <c r="N44" s="282" t="n"/>
      <c r="O44" s="28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topLeftCell="D1" workbookViewId="0">
      <selection activeCell="K1" sqref="K1"/>
    </sheetView>
  </sheetViews>
  <sheetFormatPr baseColWidth="10" defaultColWidth="8.5" defaultRowHeight="13"/>
  <cols>
    <col width="13.5" bestFit="1" customWidth="1" style="111" min="1" max="1"/>
    <col width="9.5" bestFit="1" customWidth="1" style="110" min="2" max="2"/>
    <col width="10.33203125" bestFit="1" customWidth="1" style="110" min="3" max="4"/>
    <col width="9.5" bestFit="1" customWidth="1" style="110" min="5" max="6"/>
    <col width="10.5" bestFit="1" customWidth="1" style="110" min="7" max="7"/>
    <col width="9.33203125" bestFit="1" customWidth="1" style="111" min="8" max="8"/>
    <col width="8.5" customWidth="1" style="111" min="9" max="9"/>
    <col width="15.5" bestFit="1" customWidth="1" style="113" min="10" max="10"/>
    <col width="9.5" bestFit="1" customWidth="1" style="113" min="11" max="11"/>
    <col width="10.33203125" bestFit="1" customWidth="1" style="113" min="12" max="13"/>
    <col width="9.5" bestFit="1" customWidth="1" style="113" min="14" max="15"/>
    <col width="10.5" bestFit="1" customWidth="1" style="113" min="16" max="16"/>
    <col width="14.5" bestFit="1" customWidth="1" style="114" min="17" max="17"/>
    <col width="7.5" customWidth="1" style="114" min="18" max="18"/>
    <col width="25.33203125" bestFit="1" customWidth="1" style="113" min="19" max="19"/>
    <col width="13.6640625" bestFit="1" customWidth="1" style="113" min="20" max="20"/>
    <col width="12" bestFit="1" customWidth="1" style="113" min="21" max="26"/>
    <col width="8.5" customWidth="1" style="113" min="27" max="16384"/>
  </cols>
  <sheetData>
    <row r="1">
      <c r="A1" s="121" t="n"/>
      <c r="B1" s="122" t="n"/>
      <c r="C1" s="122" t="n"/>
      <c r="D1" s="122" t="n"/>
      <c r="E1" s="122" t="n"/>
      <c r="F1" s="122" t="n"/>
      <c r="G1" s="122" t="n"/>
      <c r="H1" s="123" t="n"/>
      <c r="I1" s="123" t="n"/>
      <c r="J1" s="283" t="inlineStr">
        <is>
          <t>Student Price</t>
        </is>
      </c>
      <c r="K1" s="284" t="n">
        <v>50</v>
      </c>
      <c r="L1" s="125" t="n"/>
      <c r="M1" s="125" t="n"/>
      <c r="N1" s="125" t="n"/>
      <c r="O1" s="125" t="n"/>
      <c r="P1" s="125" t="n"/>
      <c r="Q1" s="126" t="n"/>
      <c r="R1" s="126" t="n"/>
      <c r="S1" s="125" t="n"/>
      <c r="U1" s="125" t="n"/>
      <c r="V1" s="125" t="n"/>
      <c r="W1" s="125" t="n"/>
      <c r="X1" s="125" t="n"/>
      <c r="Y1" s="125" t="n"/>
      <c r="Z1" s="127" t="n"/>
    </row>
    <row r="2" ht="21" customFormat="1" customHeight="1" s="285">
      <c r="A2" s="242" t="inlineStr">
        <is>
          <t>Client</t>
        </is>
      </c>
      <c r="B2" s="286" t="inlineStr">
        <is>
          <t>MAXIMUM WTP for each time period</t>
        </is>
      </c>
      <c r="C2" s="287" t="n"/>
      <c r="D2" s="287" t="n"/>
      <c r="E2" s="287" t="n"/>
      <c r="F2" s="287" t="n"/>
      <c r="G2" s="288" t="n"/>
      <c r="H2" s="147" t="inlineStr">
        <is>
          <t>Max.WTP</t>
        </is>
      </c>
      <c r="I2" s="142" t="n"/>
      <c r="J2" s="289" t="inlineStr">
        <is>
          <t>Net Utility</t>
        </is>
      </c>
      <c r="K2" s="287" t="n"/>
      <c r="L2" s="287" t="n"/>
      <c r="M2" s="287" t="n"/>
      <c r="N2" s="287" t="n"/>
      <c r="O2" s="287" t="n"/>
      <c r="P2" s="287" t="n"/>
      <c r="Q2" s="159" t="inlineStr">
        <is>
          <t>Max Net Utility</t>
        </is>
      </c>
      <c r="R2" s="144" t="inlineStr">
        <is>
          <t>Buy</t>
        </is>
      </c>
      <c r="S2" s="290" t="inlineStr">
        <is>
          <t># Acceptable Time Slots</t>
        </is>
      </c>
      <c r="U2" s="290" t="inlineStr">
        <is>
          <t>Probability of Buying a Time Slot</t>
        </is>
      </c>
      <c r="V2" s="287" t="n"/>
      <c r="W2" s="287" t="n"/>
      <c r="X2" s="287" t="n"/>
      <c r="Y2" s="287" t="n"/>
      <c r="Z2" s="288" t="n"/>
    </row>
    <row r="3" ht="21" customFormat="1" customHeight="1" s="291">
      <c r="A3" s="129" t="inlineStr">
        <is>
          <t>ID</t>
        </is>
      </c>
      <c r="B3" s="129" t="inlineStr">
        <is>
          <t>6am-9am</t>
        </is>
      </c>
      <c r="C3" s="132" t="inlineStr">
        <is>
          <t>9am-noon</t>
        </is>
      </c>
      <c r="D3" s="132" t="inlineStr">
        <is>
          <t>Noon-2pm</t>
        </is>
      </c>
      <c r="E3" s="132" t="inlineStr">
        <is>
          <t>2pm-5pm</t>
        </is>
      </c>
      <c r="F3" s="132" t="inlineStr">
        <is>
          <t>5pm-9pm</t>
        </is>
      </c>
      <c r="G3" s="140" t="inlineStr">
        <is>
          <t>9pm-close</t>
        </is>
      </c>
      <c r="H3" s="148" t="inlineStr">
        <is>
          <t>Day</t>
        </is>
      </c>
      <c r="I3" s="137" t="n"/>
      <c r="J3" s="151" t="inlineStr">
        <is>
          <t>not buy</t>
        </is>
      </c>
      <c r="K3" s="248" t="inlineStr">
        <is>
          <t>6am-9am</t>
        </is>
      </c>
      <c r="L3" s="248" t="inlineStr">
        <is>
          <t>9am-noon</t>
        </is>
      </c>
      <c r="M3" s="248" t="inlineStr">
        <is>
          <t>Noon-2pm</t>
        </is>
      </c>
      <c r="N3" s="248" t="inlineStr">
        <is>
          <t>2pm-5pm</t>
        </is>
      </c>
      <c r="O3" s="248" t="inlineStr">
        <is>
          <t>5pm-9pm</t>
        </is>
      </c>
      <c r="P3" s="249" t="inlineStr">
        <is>
          <t>9pm-close</t>
        </is>
      </c>
      <c r="Q3" s="138" t="inlineStr">
        <is>
          <t>Day</t>
        </is>
      </c>
      <c r="R3" s="138" t="n"/>
      <c r="S3" s="292" t="n"/>
      <c r="U3" s="132" t="inlineStr">
        <is>
          <t>6am-9am</t>
        </is>
      </c>
      <c r="V3" s="132" t="inlineStr">
        <is>
          <t>9am-noon</t>
        </is>
      </c>
      <c r="W3" s="132" t="inlineStr">
        <is>
          <t>Noon-2pm</t>
        </is>
      </c>
      <c r="X3" s="132" t="inlineStr">
        <is>
          <t>2pm-5pm</t>
        </is>
      </c>
      <c r="Y3" s="132" t="inlineStr">
        <is>
          <t>5pm-9pm</t>
        </is>
      </c>
      <c r="Z3" s="140" t="inlineStr">
        <is>
          <t>9pm-close</t>
        </is>
      </c>
    </row>
    <row r="4" ht="21" customHeight="1">
      <c r="A4" s="128" t="n">
        <v>1</v>
      </c>
      <c r="B4" s="106" t="n">
        <v>75</v>
      </c>
      <c r="C4" s="107" t="n">
        <v>25</v>
      </c>
      <c r="D4" s="107" t="n">
        <v>50</v>
      </c>
      <c r="E4" s="107" t="n">
        <v>25</v>
      </c>
      <c r="F4" s="107" t="n">
        <v>75</v>
      </c>
      <c r="G4" s="108" t="n">
        <v>50</v>
      </c>
      <c r="H4" s="149">
        <f>MAX(B4:G4)</f>
        <v/>
      </c>
      <c r="J4" s="154" t="n">
        <v>0</v>
      </c>
      <c r="K4" s="115">
        <f>B4-$K$1</f>
        <v/>
      </c>
      <c r="L4" s="115">
        <f>C4-$K$1</f>
        <v/>
      </c>
      <c r="M4" s="115">
        <f>D4-$K$1</f>
        <v/>
      </c>
      <c r="N4" s="115">
        <f>E4-$K$1</f>
        <v/>
      </c>
      <c r="O4" s="115">
        <f>F4-$K$1</f>
        <v/>
      </c>
      <c r="P4" s="155">
        <f>G4-$K$1</f>
        <v/>
      </c>
      <c r="Q4" s="116">
        <f>MAX(J4:P4)</f>
        <v/>
      </c>
      <c r="R4" s="116">
        <f>IF(MAX(K4:P4)&gt;=0,1,0)</f>
        <v/>
      </c>
      <c r="S4" s="117">
        <f>IF(R4=1,COUNTIF(K4:P4,Q4),0)</f>
        <v/>
      </c>
      <c r="U4" s="116">
        <f>IF(AND(R4=1,K4=Q4),1/S4,0)</f>
        <v/>
      </c>
      <c r="V4" s="116">
        <f>IF(AND(R4=1,L4=Q4),1/S4,0)</f>
        <v/>
      </c>
      <c r="W4" s="116">
        <f>IF(AND(R4=1,M4=Q4),1/S4,0)</f>
        <v/>
      </c>
      <c r="X4" s="116">
        <f>IF(AND(R4=1,N4=Q4),1/S4,0)</f>
        <v/>
      </c>
      <c r="Y4" s="116">
        <f>IF(AND(R4=1,O4=Q4),1/S4,0)</f>
        <v/>
      </c>
      <c r="Z4" s="161">
        <f>IF(AND(R4=1,P4=Q4),1/S4,0)</f>
        <v/>
      </c>
    </row>
    <row r="5" ht="21" customHeight="1">
      <c r="A5" s="128" t="n">
        <v>4</v>
      </c>
      <c r="B5" s="106" t="n">
        <v>25</v>
      </c>
      <c r="C5" s="107" t="n">
        <v>25</v>
      </c>
      <c r="D5" s="107" t="n">
        <v>25</v>
      </c>
      <c r="E5" s="107" t="n">
        <v>25</v>
      </c>
      <c r="F5" s="107" t="n">
        <v>50</v>
      </c>
      <c r="G5" s="108" t="n">
        <v>75</v>
      </c>
      <c r="H5" s="149">
        <f>MAX(B5:G5)</f>
        <v/>
      </c>
      <c r="J5" s="154" t="n">
        <v>0</v>
      </c>
      <c r="K5" s="115">
        <f>B5-$K$1</f>
        <v/>
      </c>
      <c r="L5" s="115">
        <f>C5-$K$1</f>
        <v/>
      </c>
      <c r="M5" s="115">
        <f>D5-$K$1</f>
        <v/>
      </c>
      <c r="N5" s="115">
        <f>E5-$K$1</f>
        <v/>
      </c>
      <c r="O5" s="115">
        <f>F5-$K$1</f>
        <v/>
      </c>
      <c r="P5" s="155">
        <f>G5-$K$1</f>
        <v/>
      </c>
      <c r="Q5" s="116">
        <f>MAX(J5:P5)</f>
        <v/>
      </c>
      <c r="R5" s="116">
        <f>IF(MAX(K5:P5)&gt;=0,1,0)</f>
        <v/>
      </c>
      <c r="S5" s="117">
        <f>IF(R5=1,COUNTIF(K5:P5,Q5),0)</f>
        <v/>
      </c>
      <c r="U5" s="116">
        <f>IF(AND(R5=1,K5=Q5),1/S5,0)</f>
        <v/>
      </c>
      <c r="V5" s="116">
        <f>IF(AND(R5=1,L5=Q5),1/S5,0)</f>
        <v/>
      </c>
      <c r="W5" s="116">
        <f>IF(AND(R5=1,M5=Q5),1/S5,0)</f>
        <v/>
      </c>
      <c r="X5" s="116">
        <f>IF(AND(R5=1,N5=Q5),1/S5,0)</f>
        <v/>
      </c>
      <c r="Y5" s="116">
        <f>IF(AND(R5=1,O5=Q5),1/S5,0)</f>
        <v/>
      </c>
      <c r="Z5" s="161">
        <f>IF(AND(R5=1,P5=Q5),1/S5,0)</f>
        <v/>
      </c>
    </row>
    <row r="6" ht="21" customHeight="1">
      <c r="A6" s="128" t="n">
        <v>7</v>
      </c>
      <c r="B6" s="106" t="n">
        <v>25</v>
      </c>
      <c r="C6" s="107" t="n">
        <v>25</v>
      </c>
      <c r="D6" s="107" t="n">
        <v>25</v>
      </c>
      <c r="E6" s="107" t="n">
        <v>25</v>
      </c>
      <c r="F6" s="107" t="n">
        <v>25</v>
      </c>
      <c r="G6" s="108" t="n">
        <v>25</v>
      </c>
      <c r="H6" s="149">
        <f>MAX(B6:G6)</f>
        <v/>
      </c>
      <c r="J6" s="154" t="n">
        <v>0</v>
      </c>
      <c r="K6" s="115">
        <f>B6-$K$1</f>
        <v/>
      </c>
      <c r="L6" s="115">
        <f>C6-$K$1</f>
        <v/>
      </c>
      <c r="M6" s="115">
        <f>D6-$K$1</f>
        <v/>
      </c>
      <c r="N6" s="115">
        <f>E6-$K$1</f>
        <v/>
      </c>
      <c r="O6" s="115">
        <f>F6-$K$1</f>
        <v/>
      </c>
      <c r="P6" s="155">
        <f>G6-$K$1</f>
        <v/>
      </c>
      <c r="Q6" s="116">
        <f>MAX(J6:P6)</f>
        <v/>
      </c>
      <c r="R6" s="116">
        <f>IF(MAX(K6:P6)&gt;=0,1,0)</f>
        <v/>
      </c>
      <c r="S6" s="117">
        <f>IF(R6=1,COUNTIF(K6:P6,Q6),0)</f>
        <v/>
      </c>
      <c r="U6" s="116">
        <f>IF(AND(R6=1,K6=Q6),1/S6,0)</f>
        <v/>
      </c>
      <c r="V6" s="116">
        <f>IF(AND(R6=1,L6=Q6),1/S6,0)</f>
        <v/>
      </c>
      <c r="W6" s="116">
        <f>IF(AND(R6=1,M6=Q6),1/S6,0)</f>
        <v/>
      </c>
      <c r="X6" s="116">
        <f>IF(AND(R6=1,N6=Q6),1/S6,0)</f>
        <v/>
      </c>
      <c r="Y6" s="116">
        <f>IF(AND(R6=1,O6=Q6),1/S6,0)</f>
        <v/>
      </c>
      <c r="Z6" s="161">
        <f>IF(AND(R6=1,P6=Q6),1/S6,0)</f>
        <v/>
      </c>
    </row>
    <row r="7" ht="21" customHeight="1">
      <c r="A7" s="128" t="n">
        <v>8</v>
      </c>
      <c r="B7" s="106" t="n">
        <v>50</v>
      </c>
      <c r="C7" s="107" t="n">
        <v>50</v>
      </c>
      <c r="D7" s="107" t="n">
        <v>50</v>
      </c>
      <c r="E7" s="107" t="n">
        <v>50</v>
      </c>
      <c r="F7" s="107" t="n">
        <v>50</v>
      </c>
      <c r="G7" s="108" t="n">
        <v>50</v>
      </c>
      <c r="H7" s="149">
        <f>MAX(B7:G7)</f>
        <v/>
      </c>
      <c r="J7" s="154" t="n">
        <v>0</v>
      </c>
      <c r="K7" s="115">
        <f>B7-$K$1</f>
        <v/>
      </c>
      <c r="L7" s="115">
        <f>C7-$K$1</f>
        <v/>
      </c>
      <c r="M7" s="115">
        <f>D7-$K$1</f>
        <v/>
      </c>
      <c r="N7" s="115">
        <f>E7-$K$1</f>
        <v/>
      </c>
      <c r="O7" s="115">
        <f>F7-$K$1</f>
        <v/>
      </c>
      <c r="P7" s="155">
        <f>G7-$K$1</f>
        <v/>
      </c>
      <c r="Q7" s="116">
        <f>MAX(J7:P7)</f>
        <v/>
      </c>
      <c r="R7" s="116">
        <f>IF(MAX(K7:P7)&gt;=0,1,0)</f>
        <v/>
      </c>
      <c r="S7" s="117">
        <f>IF(R7=1,COUNTIF(K7:P7,Q7),0)</f>
        <v/>
      </c>
      <c r="U7" s="116">
        <f>IF(AND(R7=1,K7=Q7),1/S7,0)</f>
        <v/>
      </c>
      <c r="V7" s="116">
        <f>IF(AND(R7=1,L7=Q7),1/S7,0)</f>
        <v/>
      </c>
      <c r="W7" s="116">
        <f>IF(AND(R7=1,M7=Q7),1/S7,0)</f>
        <v/>
      </c>
      <c r="X7" s="116">
        <f>IF(AND(R7=1,N7=Q7),1/S7,0)</f>
        <v/>
      </c>
      <c r="Y7" s="116">
        <f>IF(AND(R7=1,O7=Q7),1/S7,0)</f>
        <v/>
      </c>
      <c r="Z7" s="161">
        <f>IF(AND(R7=1,P7=Q7),1/S7,0)</f>
        <v/>
      </c>
    </row>
    <row r="8" ht="21" customHeight="1">
      <c r="A8" s="128" t="n">
        <v>23</v>
      </c>
      <c r="B8" s="106" t="n">
        <v>25</v>
      </c>
      <c r="C8" s="107" t="n">
        <v>25</v>
      </c>
      <c r="D8" s="107" t="n">
        <v>25</v>
      </c>
      <c r="E8" s="107" t="n">
        <v>25</v>
      </c>
      <c r="F8" s="107" t="n">
        <v>25</v>
      </c>
      <c r="G8" s="108" t="n">
        <v>25</v>
      </c>
      <c r="H8" s="149">
        <f>MAX(B8:G8)</f>
        <v/>
      </c>
      <c r="J8" s="154" t="n">
        <v>0</v>
      </c>
      <c r="K8" s="115">
        <f>B8-$K$1</f>
        <v/>
      </c>
      <c r="L8" s="115">
        <f>C8-$K$1</f>
        <v/>
      </c>
      <c r="M8" s="115">
        <f>D8-$K$1</f>
        <v/>
      </c>
      <c r="N8" s="115">
        <f>E8-$K$1</f>
        <v/>
      </c>
      <c r="O8" s="115">
        <f>F8-$K$1</f>
        <v/>
      </c>
      <c r="P8" s="155">
        <f>G8-$K$1</f>
        <v/>
      </c>
      <c r="Q8" s="116">
        <f>MAX(J8:P8)</f>
        <v/>
      </c>
      <c r="R8" s="116">
        <f>IF(MAX(K8:P8)&gt;=0,1,0)</f>
        <v/>
      </c>
      <c r="S8" s="117">
        <f>IF(R8=1,COUNTIF(K8:P8,Q8),0)</f>
        <v/>
      </c>
      <c r="U8" s="116">
        <f>IF(AND(R8=1,K8=Q8),1/S8,0)</f>
        <v/>
      </c>
      <c r="V8" s="116">
        <f>IF(AND(R8=1,L8=Q8),1/S8,0)</f>
        <v/>
      </c>
      <c r="W8" s="116">
        <f>IF(AND(R8=1,M8=Q8),1/S8,0)</f>
        <v/>
      </c>
      <c r="X8" s="116">
        <f>IF(AND(R8=1,N8=Q8),1/S8,0)</f>
        <v/>
      </c>
      <c r="Y8" s="116">
        <f>IF(AND(R8=1,O8=Q8),1/S8,0)</f>
        <v/>
      </c>
      <c r="Z8" s="161">
        <f>IF(AND(R8=1,P8=Q8),1/S8,0)</f>
        <v/>
      </c>
    </row>
    <row r="9" ht="21" customHeight="1">
      <c r="A9" s="128" t="n">
        <v>26</v>
      </c>
      <c r="B9" s="106" t="n">
        <v>25</v>
      </c>
      <c r="C9" s="107" t="n">
        <v>25</v>
      </c>
      <c r="D9" s="107" t="n">
        <v>25</v>
      </c>
      <c r="E9" s="107" t="n">
        <v>25</v>
      </c>
      <c r="F9" s="107" t="n">
        <v>50</v>
      </c>
      <c r="G9" s="108" t="n">
        <v>50</v>
      </c>
      <c r="H9" s="149">
        <f>MAX(B9:G9)</f>
        <v/>
      </c>
      <c r="J9" s="154" t="n">
        <v>0</v>
      </c>
      <c r="K9" s="115">
        <f>B9-$K$1</f>
        <v/>
      </c>
      <c r="L9" s="115">
        <f>C9-$K$1</f>
        <v/>
      </c>
      <c r="M9" s="115">
        <f>D9-$K$1</f>
        <v/>
      </c>
      <c r="N9" s="115">
        <f>E9-$K$1</f>
        <v/>
      </c>
      <c r="O9" s="115">
        <f>F9-$K$1</f>
        <v/>
      </c>
      <c r="P9" s="155">
        <f>G9-$K$1</f>
        <v/>
      </c>
      <c r="Q9" s="116">
        <f>MAX(J9:P9)</f>
        <v/>
      </c>
      <c r="R9" s="116">
        <f>IF(MAX(K9:P9)&gt;=0,1,0)</f>
        <v/>
      </c>
      <c r="S9" s="117">
        <f>IF(R9=1,COUNTIF(K9:P9,Q9),0)</f>
        <v/>
      </c>
      <c r="U9" s="116">
        <f>IF(AND(R9=1,K9=Q9),1/S9,0)</f>
        <v/>
      </c>
      <c r="V9" s="116">
        <f>IF(AND(R9=1,L9=Q9),1/S9,0)</f>
        <v/>
      </c>
      <c r="W9" s="116">
        <f>IF(AND(R9=1,M9=Q9),1/S9,0)</f>
        <v/>
      </c>
      <c r="X9" s="116">
        <f>IF(AND(R9=1,N9=Q9),1/S9,0)</f>
        <v/>
      </c>
      <c r="Y9" s="116">
        <f>IF(AND(R9=1,O9=Q9),1/S9,0)</f>
        <v/>
      </c>
      <c r="Z9" s="161">
        <f>IF(AND(R9=1,P9=Q9),1/S9,0)</f>
        <v/>
      </c>
    </row>
    <row r="10" ht="21" customHeight="1">
      <c r="A10" s="128" t="n">
        <v>28</v>
      </c>
      <c r="B10" s="106" t="n">
        <v>75</v>
      </c>
      <c r="C10" s="107" t="n">
        <v>75</v>
      </c>
      <c r="D10" s="107" t="n">
        <v>75</v>
      </c>
      <c r="E10" s="107" t="n">
        <v>75</v>
      </c>
      <c r="F10" s="107" t="n">
        <v>75</v>
      </c>
      <c r="G10" s="108" t="n">
        <v>75</v>
      </c>
      <c r="H10" s="149">
        <f>MAX(B10:G10)</f>
        <v/>
      </c>
      <c r="J10" s="154" t="n">
        <v>0</v>
      </c>
      <c r="K10" s="115">
        <f>B10-$K$1</f>
        <v/>
      </c>
      <c r="L10" s="115">
        <f>C10-$K$1</f>
        <v/>
      </c>
      <c r="M10" s="115">
        <f>D10-$K$1</f>
        <v/>
      </c>
      <c r="N10" s="115">
        <f>E10-$K$1</f>
        <v/>
      </c>
      <c r="O10" s="115">
        <f>F10-$K$1</f>
        <v/>
      </c>
      <c r="P10" s="155">
        <f>G10-$K$1</f>
        <v/>
      </c>
      <c r="Q10" s="116">
        <f>MAX(J10:P10)</f>
        <v/>
      </c>
      <c r="R10" s="116">
        <f>IF(MAX(K10:P10)&gt;=0,1,0)</f>
        <v/>
      </c>
      <c r="S10" s="117">
        <f>IF(R10=1,COUNTIF(K10:P10,Q10),0)</f>
        <v/>
      </c>
      <c r="U10" s="116">
        <f>IF(AND(R10=1,K10=Q10),1/S10,0)</f>
        <v/>
      </c>
      <c r="V10" s="116">
        <f>IF(AND(R10=1,L10=Q10),1/S10,0)</f>
        <v/>
      </c>
      <c r="W10" s="116">
        <f>IF(AND(R10=1,M10=Q10),1/S10,0)</f>
        <v/>
      </c>
      <c r="X10" s="116">
        <f>IF(AND(R10=1,N10=Q10),1/S10,0)</f>
        <v/>
      </c>
      <c r="Y10" s="116">
        <f>IF(AND(R10=1,O10=Q10),1/S10,0)</f>
        <v/>
      </c>
      <c r="Z10" s="161">
        <f>IF(AND(R10=1,P10=Q10),1/S10,0)</f>
        <v/>
      </c>
    </row>
    <row r="11" ht="21" customHeight="1">
      <c r="A11" s="128" t="n">
        <v>29</v>
      </c>
      <c r="B11" s="106" t="n">
        <v>25</v>
      </c>
      <c r="C11" s="107" t="n">
        <v>25</v>
      </c>
      <c r="D11" s="107" t="n">
        <v>25</v>
      </c>
      <c r="E11" s="107" t="n">
        <v>25</v>
      </c>
      <c r="F11" s="107" t="n">
        <v>25</v>
      </c>
      <c r="G11" s="108" t="n">
        <v>25</v>
      </c>
      <c r="H11" s="149">
        <f>MAX(B11:G11)</f>
        <v/>
      </c>
      <c r="J11" s="154" t="n">
        <v>0</v>
      </c>
      <c r="K11" s="115">
        <f>B11-$K$1</f>
        <v/>
      </c>
      <c r="L11" s="115">
        <f>C11-$K$1</f>
        <v/>
      </c>
      <c r="M11" s="115">
        <f>D11-$K$1</f>
        <v/>
      </c>
      <c r="N11" s="115">
        <f>E11-$K$1</f>
        <v/>
      </c>
      <c r="O11" s="115">
        <f>F11-$K$1</f>
        <v/>
      </c>
      <c r="P11" s="155">
        <f>G11-$K$1</f>
        <v/>
      </c>
      <c r="Q11" s="116">
        <f>MAX(J11:P11)</f>
        <v/>
      </c>
      <c r="R11" s="116">
        <f>IF(MAX(K11:P11)&gt;=0,1,0)</f>
        <v/>
      </c>
      <c r="S11" s="117">
        <f>IF(R11=1,COUNTIF(K11:P11,Q11),0)</f>
        <v/>
      </c>
      <c r="U11" s="116">
        <f>IF(AND(R11=1,K11=Q11),1/S11,0)</f>
        <v/>
      </c>
      <c r="V11" s="116">
        <f>IF(AND(R11=1,L11=Q11),1/S11,0)</f>
        <v/>
      </c>
      <c r="W11" s="116">
        <f>IF(AND(R11=1,M11=Q11),1/S11,0)</f>
        <v/>
      </c>
      <c r="X11" s="116">
        <f>IF(AND(R11=1,N11=Q11),1/S11,0)</f>
        <v/>
      </c>
      <c r="Y11" s="116">
        <f>IF(AND(R11=1,O11=Q11),1/S11,0)</f>
        <v/>
      </c>
      <c r="Z11" s="161">
        <f>IF(AND(R11=1,P11=Q11),1/S11,0)</f>
        <v/>
      </c>
    </row>
    <row r="12" ht="21" customHeight="1">
      <c r="A12" s="128" t="n">
        <v>30</v>
      </c>
      <c r="B12" s="106" t="n">
        <v>50</v>
      </c>
      <c r="C12" s="107" t="n">
        <v>25</v>
      </c>
      <c r="D12" s="107" t="n">
        <v>25</v>
      </c>
      <c r="E12" s="107" t="n">
        <v>25</v>
      </c>
      <c r="F12" s="107" t="n">
        <v>50</v>
      </c>
      <c r="G12" s="108" t="n">
        <v>25</v>
      </c>
      <c r="H12" s="149">
        <f>MAX(B12:G12)</f>
        <v/>
      </c>
      <c r="J12" s="154" t="n">
        <v>0</v>
      </c>
      <c r="K12" s="115">
        <f>B12-$K$1</f>
        <v/>
      </c>
      <c r="L12" s="115">
        <f>C12-$K$1</f>
        <v/>
      </c>
      <c r="M12" s="115">
        <f>D12-$K$1</f>
        <v/>
      </c>
      <c r="N12" s="115">
        <f>E12-$K$1</f>
        <v/>
      </c>
      <c r="O12" s="115">
        <f>F12-$K$1</f>
        <v/>
      </c>
      <c r="P12" s="155">
        <f>G12-$K$1</f>
        <v/>
      </c>
      <c r="Q12" s="116">
        <f>MAX(J12:P12)</f>
        <v/>
      </c>
      <c r="R12" s="116">
        <f>IF(MAX(K12:P12)&gt;=0,1,0)</f>
        <v/>
      </c>
      <c r="S12" s="117">
        <f>IF(R12=1,COUNTIF(K12:P12,Q12),0)</f>
        <v/>
      </c>
      <c r="U12" s="116">
        <f>IF(AND(R12=1,K12=Q12),1/S12,0)</f>
        <v/>
      </c>
      <c r="V12" s="116">
        <f>IF(AND(R12=1,L12=Q12),1/S12,0)</f>
        <v/>
      </c>
      <c r="W12" s="116">
        <f>IF(AND(R12=1,M12=Q12),1/S12,0)</f>
        <v/>
      </c>
      <c r="X12" s="116">
        <f>IF(AND(R12=1,N12=Q12),1/S12,0)</f>
        <v/>
      </c>
      <c r="Y12" s="116">
        <f>IF(AND(R12=1,O12=Q12),1/S12,0)</f>
        <v/>
      </c>
      <c r="Z12" s="161">
        <f>IF(AND(R12=1,P12=Q12),1/S12,0)</f>
        <v/>
      </c>
    </row>
    <row r="13" ht="21" customHeight="1">
      <c r="A13" s="128" t="n">
        <v>35</v>
      </c>
      <c r="B13" s="106" t="n">
        <v>25</v>
      </c>
      <c r="C13" s="107" t="n">
        <v>25</v>
      </c>
      <c r="D13" s="107" t="n">
        <v>25</v>
      </c>
      <c r="E13" s="107" t="n">
        <v>25</v>
      </c>
      <c r="F13" s="107" t="n">
        <v>75</v>
      </c>
      <c r="G13" s="108" t="n">
        <v>75</v>
      </c>
      <c r="H13" s="149">
        <f>MAX(B13:G13)</f>
        <v/>
      </c>
      <c r="J13" s="154" t="n">
        <v>0</v>
      </c>
      <c r="K13" s="115">
        <f>B13-$K$1</f>
        <v/>
      </c>
      <c r="L13" s="115">
        <f>C13-$K$1</f>
        <v/>
      </c>
      <c r="M13" s="115">
        <f>D13-$K$1</f>
        <v/>
      </c>
      <c r="N13" s="115">
        <f>E13-$K$1</f>
        <v/>
      </c>
      <c r="O13" s="115">
        <f>F13-$K$1</f>
        <v/>
      </c>
      <c r="P13" s="155">
        <f>G13-$K$1</f>
        <v/>
      </c>
      <c r="Q13" s="116">
        <f>MAX(J13:P13)</f>
        <v/>
      </c>
      <c r="R13" s="116">
        <f>IF(MAX(K13:P13)&gt;=0,1,0)</f>
        <v/>
      </c>
      <c r="S13" s="117">
        <f>IF(R13=1,COUNTIF(K13:P13,Q13),0)</f>
        <v/>
      </c>
      <c r="U13" s="116">
        <f>IF(AND(R13=1,K13=Q13),1/S13,0)</f>
        <v/>
      </c>
      <c r="V13" s="116">
        <f>IF(AND(R13=1,L13=Q13),1/S13,0)</f>
        <v/>
      </c>
      <c r="W13" s="116">
        <f>IF(AND(R13=1,M13=Q13),1/S13,0)</f>
        <v/>
      </c>
      <c r="X13" s="116">
        <f>IF(AND(R13=1,N13=Q13),1/S13,0)</f>
        <v/>
      </c>
      <c r="Y13" s="116">
        <f>IF(AND(R13=1,O13=Q13),1/S13,0)</f>
        <v/>
      </c>
      <c r="Z13" s="161">
        <f>IF(AND(R13=1,P13=Q13),1/S13,0)</f>
        <v/>
      </c>
    </row>
    <row r="14" ht="21" customHeight="1">
      <c r="A14" s="128" t="n">
        <v>36</v>
      </c>
      <c r="B14" s="106" t="n">
        <v>25</v>
      </c>
      <c r="C14" s="107" t="n">
        <v>25</v>
      </c>
      <c r="D14" s="107" t="n">
        <v>25</v>
      </c>
      <c r="E14" s="107" t="n">
        <v>25</v>
      </c>
      <c r="F14" s="107" t="n">
        <v>25</v>
      </c>
      <c r="G14" s="108" t="n">
        <v>25</v>
      </c>
      <c r="H14" s="149">
        <f>MAX(B14:G14)</f>
        <v/>
      </c>
      <c r="J14" s="154" t="n">
        <v>0</v>
      </c>
      <c r="K14" s="115">
        <f>B14-$K$1</f>
        <v/>
      </c>
      <c r="L14" s="115">
        <f>C14-$K$1</f>
        <v/>
      </c>
      <c r="M14" s="115">
        <f>D14-$K$1</f>
        <v/>
      </c>
      <c r="N14" s="115">
        <f>E14-$K$1</f>
        <v/>
      </c>
      <c r="O14" s="115">
        <f>F14-$K$1</f>
        <v/>
      </c>
      <c r="P14" s="155">
        <f>G14-$K$1</f>
        <v/>
      </c>
      <c r="Q14" s="116">
        <f>MAX(J14:P14)</f>
        <v/>
      </c>
      <c r="R14" s="116">
        <f>IF(MAX(K14:P14)&gt;=0,1,0)</f>
        <v/>
      </c>
      <c r="S14" s="117">
        <f>IF(R14=1,COUNTIF(K14:P14,Q14),0)</f>
        <v/>
      </c>
      <c r="U14" s="116">
        <f>IF(AND(R14=1,K14=Q14),1/S14,0)</f>
        <v/>
      </c>
      <c r="V14" s="116">
        <f>IF(AND(R14=1,L14=Q14),1/S14,0)</f>
        <v/>
      </c>
      <c r="W14" s="116">
        <f>IF(AND(R14=1,M14=Q14),1/S14,0)</f>
        <v/>
      </c>
      <c r="X14" s="116">
        <f>IF(AND(R14=1,N14=Q14),1/S14,0)</f>
        <v/>
      </c>
      <c r="Y14" s="116">
        <f>IF(AND(R14=1,O14=Q14),1/S14,0)</f>
        <v/>
      </c>
      <c r="Z14" s="161">
        <f>IF(AND(R14=1,P14=Q14),1/S14,0)</f>
        <v/>
      </c>
    </row>
    <row r="15" ht="21" customHeight="1">
      <c r="A15" s="128" t="n">
        <v>38</v>
      </c>
      <c r="B15" s="106" t="n">
        <v>25</v>
      </c>
      <c r="C15" s="107" t="n">
        <v>25</v>
      </c>
      <c r="D15" s="107" t="n">
        <v>25</v>
      </c>
      <c r="E15" s="107" t="n">
        <v>25</v>
      </c>
      <c r="F15" s="107" t="n">
        <v>25</v>
      </c>
      <c r="G15" s="108" t="n">
        <v>25</v>
      </c>
      <c r="H15" s="149">
        <f>MAX(B15:G15)</f>
        <v/>
      </c>
      <c r="J15" s="154" t="n">
        <v>0</v>
      </c>
      <c r="K15" s="115">
        <f>B15-$K$1</f>
        <v/>
      </c>
      <c r="L15" s="115">
        <f>C15-$K$1</f>
        <v/>
      </c>
      <c r="M15" s="115">
        <f>D15-$K$1</f>
        <v/>
      </c>
      <c r="N15" s="115">
        <f>E15-$K$1</f>
        <v/>
      </c>
      <c r="O15" s="115">
        <f>F15-$K$1</f>
        <v/>
      </c>
      <c r="P15" s="155">
        <f>G15-$K$1</f>
        <v/>
      </c>
      <c r="Q15" s="116">
        <f>MAX(J15:P15)</f>
        <v/>
      </c>
      <c r="R15" s="116">
        <f>IF(MAX(K15:P15)&gt;=0,1,0)</f>
        <v/>
      </c>
      <c r="S15" s="117">
        <f>IF(R15=1,COUNTIF(K15:P15,Q15),0)</f>
        <v/>
      </c>
      <c r="U15" s="116">
        <f>IF(AND(R15=1,K15=Q15),1/S15,0)</f>
        <v/>
      </c>
      <c r="V15" s="116">
        <f>IF(AND(R15=1,L15=Q15),1/S15,0)</f>
        <v/>
      </c>
      <c r="W15" s="116">
        <f>IF(AND(R15=1,M15=Q15),1/S15,0)</f>
        <v/>
      </c>
      <c r="X15" s="116">
        <f>IF(AND(R15=1,N15=Q15),1/S15,0)</f>
        <v/>
      </c>
      <c r="Y15" s="116">
        <f>IF(AND(R15=1,O15=Q15),1/S15,0)</f>
        <v/>
      </c>
      <c r="Z15" s="161">
        <f>IF(AND(R15=1,P15=Q15),1/S15,0)</f>
        <v/>
      </c>
    </row>
    <row r="16" ht="21" customHeight="1">
      <c r="A16" s="128" t="n">
        <v>40</v>
      </c>
      <c r="B16" s="106" t="n">
        <v>75</v>
      </c>
      <c r="C16" s="107" t="n">
        <v>25</v>
      </c>
      <c r="D16" s="107" t="n">
        <v>25</v>
      </c>
      <c r="E16" s="107" t="n">
        <v>25</v>
      </c>
      <c r="F16" s="107" t="n">
        <v>50</v>
      </c>
      <c r="G16" s="108" t="n">
        <v>25</v>
      </c>
      <c r="H16" s="149">
        <f>MAX(B16:G16)</f>
        <v/>
      </c>
      <c r="J16" s="154" t="n">
        <v>0</v>
      </c>
      <c r="K16" s="115">
        <f>B16-$K$1</f>
        <v/>
      </c>
      <c r="L16" s="115">
        <f>C16-$K$1</f>
        <v/>
      </c>
      <c r="M16" s="115">
        <f>D16-$K$1</f>
        <v/>
      </c>
      <c r="N16" s="115">
        <f>E16-$K$1</f>
        <v/>
      </c>
      <c r="O16" s="115">
        <f>F16-$K$1</f>
        <v/>
      </c>
      <c r="P16" s="155">
        <f>G16-$K$1</f>
        <v/>
      </c>
      <c r="Q16" s="116">
        <f>MAX(J16:P16)</f>
        <v/>
      </c>
      <c r="R16" s="116">
        <f>IF(MAX(K16:P16)&gt;=0,1,0)</f>
        <v/>
      </c>
      <c r="S16" s="117">
        <f>IF(R16=1,COUNTIF(K16:P16,Q16),0)</f>
        <v/>
      </c>
      <c r="U16" s="116">
        <f>IF(AND(R16=1,K16=Q16),1/S16,0)</f>
        <v/>
      </c>
      <c r="V16" s="116">
        <f>IF(AND(R16=1,L16=Q16),1/S16,0)</f>
        <v/>
      </c>
      <c r="W16" s="116">
        <f>IF(AND(R16=1,M16=Q16),1/S16,0)</f>
        <v/>
      </c>
      <c r="X16" s="116">
        <f>IF(AND(R16=1,N16=Q16),1/S16,0)</f>
        <v/>
      </c>
      <c r="Y16" s="116">
        <f>IF(AND(R16=1,O16=Q16),1/S16,0)</f>
        <v/>
      </c>
      <c r="Z16" s="161">
        <f>IF(AND(R16=1,P16=Q16),1/S16,0)</f>
        <v/>
      </c>
    </row>
    <row r="17" ht="21" customHeight="1">
      <c r="A17" s="128" t="n">
        <v>41</v>
      </c>
      <c r="B17" s="106" t="n">
        <v>25</v>
      </c>
      <c r="C17" s="107" t="n">
        <v>25</v>
      </c>
      <c r="D17" s="107" t="n">
        <v>25</v>
      </c>
      <c r="E17" s="107" t="n">
        <v>25</v>
      </c>
      <c r="F17" s="107" t="n">
        <v>75</v>
      </c>
      <c r="G17" s="108" t="n">
        <v>75</v>
      </c>
      <c r="H17" s="149">
        <f>MAX(B17:G17)</f>
        <v/>
      </c>
      <c r="J17" s="154" t="n">
        <v>0</v>
      </c>
      <c r="K17" s="115">
        <f>B17-$K$1</f>
        <v/>
      </c>
      <c r="L17" s="115">
        <f>C17-$K$1</f>
        <v/>
      </c>
      <c r="M17" s="115">
        <f>D17-$K$1</f>
        <v/>
      </c>
      <c r="N17" s="115">
        <f>E17-$K$1</f>
        <v/>
      </c>
      <c r="O17" s="115">
        <f>F17-$K$1</f>
        <v/>
      </c>
      <c r="P17" s="155">
        <f>G17-$K$1</f>
        <v/>
      </c>
      <c r="Q17" s="116">
        <f>MAX(J17:P17)</f>
        <v/>
      </c>
      <c r="R17" s="116">
        <f>IF(MAX(K17:P17)&gt;=0,1,0)</f>
        <v/>
      </c>
      <c r="S17" s="117">
        <f>IF(R17=1,COUNTIF(K17:P17,Q17),0)</f>
        <v/>
      </c>
      <c r="U17" s="116">
        <f>IF(AND(R17=1,K17=Q17),1/S17,0)</f>
        <v/>
      </c>
      <c r="V17" s="116">
        <f>IF(AND(R17=1,L17=Q17),1/S17,0)</f>
        <v/>
      </c>
      <c r="W17" s="116">
        <f>IF(AND(R17=1,M17=Q17),1/S17,0)</f>
        <v/>
      </c>
      <c r="X17" s="116">
        <f>IF(AND(R17=1,N17=Q17),1/S17,0)</f>
        <v/>
      </c>
      <c r="Y17" s="116">
        <f>IF(AND(R17=1,O17=Q17),1/S17,0)</f>
        <v/>
      </c>
      <c r="Z17" s="161">
        <f>IF(AND(R17=1,P17=Q17),1/S17,0)</f>
        <v/>
      </c>
    </row>
    <row r="18" ht="21" customHeight="1">
      <c r="A18" s="128" t="n">
        <v>44</v>
      </c>
      <c r="B18" s="106" t="n">
        <v>75</v>
      </c>
      <c r="C18" s="107" t="n">
        <v>25</v>
      </c>
      <c r="D18" s="107" t="n">
        <v>75</v>
      </c>
      <c r="E18" s="107" t="n">
        <v>25</v>
      </c>
      <c r="F18" s="107" t="n">
        <v>75</v>
      </c>
      <c r="G18" s="108" t="n">
        <v>25</v>
      </c>
      <c r="H18" s="149">
        <f>MAX(B18:G18)</f>
        <v/>
      </c>
      <c r="J18" s="154" t="n">
        <v>0</v>
      </c>
      <c r="K18" s="115">
        <f>B18-$K$1</f>
        <v/>
      </c>
      <c r="L18" s="115">
        <f>C18-$K$1</f>
        <v/>
      </c>
      <c r="M18" s="115">
        <f>D18-$K$1</f>
        <v/>
      </c>
      <c r="N18" s="115">
        <f>E18-$K$1</f>
        <v/>
      </c>
      <c r="O18" s="115">
        <f>F18-$K$1</f>
        <v/>
      </c>
      <c r="P18" s="155">
        <f>G18-$K$1</f>
        <v/>
      </c>
      <c r="Q18" s="116">
        <f>MAX(J18:P18)</f>
        <v/>
      </c>
      <c r="R18" s="116">
        <f>IF(MAX(K18:P18)&gt;=0,1,0)</f>
        <v/>
      </c>
      <c r="S18" s="117">
        <f>IF(R18=1,COUNTIF(K18:P18,Q18),0)</f>
        <v/>
      </c>
      <c r="U18" s="116">
        <f>IF(AND(R18=1,K18=Q18),1/S18,0)</f>
        <v/>
      </c>
      <c r="V18" s="116">
        <f>IF(AND(R18=1,L18=Q18),1/S18,0)</f>
        <v/>
      </c>
      <c r="W18" s="116">
        <f>IF(AND(R18=1,M18=Q18),1/S18,0)</f>
        <v/>
      </c>
      <c r="X18" s="116">
        <f>IF(AND(R18=1,N18=Q18),1/S18,0)</f>
        <v/>
      </c>
      <c r="Y18" s="116">
        <f>IF(AND(R18=1,O18=Q18),1/S18,0)</f>
        <v/>
      </c>
      <c r="Z18" s="161">
        <f>IF(AND(R18=1,P18=Q18),1/S18,0)</f>
        <v/>
      </c>
    </row>
    <row r="19" ht="21" customHeight="1">
      <c r="A19" s="128" t="n">
        <v>46</v>
      </c>
      <c r="B19" s="106" t="n">
        <v>50</v>
      </c>
      <c r="C19" s="107" t="n">
        <v>50</v>
      </c>
      <c r="D19" s="107" t="n">
        <v>50</v>
      </c>
      <c r="E19" s="107" t="n">
        <v>50</v>
      </c>
      <c r="F19" s="107" t="n">
        <v>50</v>
      </c>
      <c r="G19" s="108" t="n">
        <v>50</v>
      </c>
      <c r="H19" s="149">
        <f>MAX(B19:G19)</f>
        <v/>
      </c>
      <c r="J19" s="154" t="n">
        <v>0</v>
      </c>
      <c r="K19" s="115">
        <f>B19-$K$1</f>
        <v/>
      </c>
      <c r="L19" s="115">
        <f>C19-$K$1</f>
        <v/>
      </c>
      <c r="M19" s="115">
        <f>D19-$K$1</f>
        <v/>
      </c>
      <c r="N19" s="115">
        <f>E19-$K$1</f>
        <v/>
      </c>
      <c r="O19" s="115">
        <f>F19-$K$1</f>
        <v/>
      </c>
      <c r="P19" s="155">
        <f>G19-$K$1</f>
        <v/>
      </c>
      <c r="Q19" s="116">
        <f>MAX(J19:P19)</f>
        <v/>
      </c>
      <c r="R19" s="116">
        <f>IF(MAX(K19:P19)&gt;=0,1,0)</f>
        <v/>
      </c>
      <c r="S19" s="117">
        <f>IF(R19=1,COUNTIF(K19:P19,Q19),0)</f>
        <v/>
      </c>
      <c r="U19" s="116">
        <f>IF(AND(R19=1,K19=Q19),1/S19,0)</f>
        <v/>
      </c>
      <c r="V19" s="116">
        <f>IF(AND(R19=1,L19=Q19),1/S19,0)</f>
        <v/>
      </c>
      <c r="W19" s="116">
        <f>IF(AND(R19=1,M19=Q19),1/S19,0)</f>
        <v/>
      </c>
      <c r="X19" s="116">
        <f>IF(AND(R19=1,N19=Q19),1/S19,0)</f>
        <v/>
      </c>
      <c r="Y19" s="116">
        <f>IF(AND(R19=1,O19=Q19),1/S19,0)</f>
        <v/>
      </c>
      <c r="Z19" s="161">
        <f>IF(AND(R19=1,P19=Q19),1/S19,0)</f>
        <v/>
      </c>
    </row>
    <row r="20" ht="21" customHeight="1">
      <c r="A20" s="128" t="n">
        <v>47</v>
      </c>
      <c r="B20" s="106" t="n">
        <v>75</v>
      </c>
      <c r="C20" s="107" t="n">
        <v>50</v>
      </c>
      <c r="D20" s="107" t="n">
        <v>50</v>
      </c>
      <c r="E20" s="107" t="n">
        <v>50</v>
      </c>
      <c r="F20" s="107" t="n">
        <v>75</v>
      </c>
      <c r="G20" s="108" t="n">
        <v>75</v>
      </c>
      <c r="H20" s="149">
        <f>MAX(B20:G20)</f>
        <v/>
      </c>
      <c r="J20" s="154" t="n">
        <v>0</v>
      </c>
      <c r="K20" s="115">
        <f>B20-$K$1</f>
        <v/>
      </c>
      <c r="L20" s="115">
        <f>C20-$K$1</f>
        <v/>
      </c>
      <c r="M20" s="115">
        <f>D20-$K$1</f>
        <v/>
      </c>
      <c r="N20" s="115">
        <f>E20-$K$1</f>
        <v/>
      </c>
      <c r="O20" s="115">
        <f>F20-$K$1</f>
        <v/>
      </c>
      <c r="P20" s="155">
        <f>G20-$K$1</f>
        <v/>
      </c>
      <c r="Q20" s="116">
        <f>MAX(J20:P20)</f>
        <v/>
      </c>
      <c r="R20" s="116">
        <f>IF(MAX(K20:P20)&gt;=0,1,0)</f>
        <v/>
      </c>
      <c r="S20" s="117">
        <f>IF(R20=1,COUNTIF(K20:P20,Q20),0)</f>
        <v/>
      </c>
      <c r="U20" s="116">
        <f>IF(AND(R20=1,K20=Q20),1/S20,0)</f>
        <v/>
      </c>
      <c r="V20" s="116">
        <f>IF(AND(R20=1,L20=Q20),1/S20,0)</f>
        <v/>
      </c>
      <c r="W20" s="116">
        <f>IF(AND(R20=1,M20=Q20),1/S20,0)</f>
        <v/>
      </c>
      <c r="X20" s="116">
        <f>IF(AND(R20=1,N20=Q20),1/S20,0)</f>
        <v/>
      </c>
      <c r="Y20" s="116">
        <f>IF(AND(R20=1,O20=Q20),1/S20,0)</f>
        <v/>
      </c>
      <c r="Z20" s="161">
        <f>IF(AND(R20=1,P20=Q20),1/S20,0)</f>
        <v/>
      </c>
    </row>
    <row r="21" ht="21" customHeight="1">
      <c r="A21" s="128" t="n">
        <v>52</v>
      </c>
      <c r="B21" s="106" t="n">
        <v>25</v>
      </c>
      <c r="C21" s="107" t="n">
        <v>25</v>
      </c>
      <c r="D21" s="107" t="n">
        <v>25</v>
      </c>
      <c r="E21" s="107" t="n">
        <v>25</v>
      </c>
      <c r="F21" s="107" t="n">
        <v>25</v>
      </c>
      <c r="G21" s="108" t="n">
        <v>25</v>
      </c>
      <c r="H21" s="149">
        <f>MAX(B21:G21)</f>
        <v/>
      </c>
      <c r="J21" s="154" t="n">
        <v>0</v>
      </c>
      <c r="K21" s="115">
        <f>B21-$K$1</f>
        <v/>
      </c>
      <c r="L21" s="115">
        <f>C21-$K$1</f>
        <v/>
      </c>
      <c r="M21" s="115">
        <f>D21-$K$1</f>
        <v/>
      </c>
      <c r="N21" s="115">
        <f>E21-$K$1</f>
        <v/>
      </c>
      <c r="O21" s="115">
        <f>F21-$K$1</f>
        <v/>
      </c>
      <c r="P21" s="155">
        <f>G21-$K$1</f>
        <v/>
      </c>
      <c r="Q21" s="116">
        <f>MAX(J21:P21)</f>
        <v/>
      </c>
      <c r="R21" s="116">
        <f>IF(MAX(K21:P21)&gt;=0,1,0)</f>
        <v/>
      </c>
      <c r="S21" s="117">
        <f>IF(R21=1,COUNTIF(K21:P21,Q21),0)</f>
        <v/>
      </c>
      <c r="U21" s="116">
        <f>IF(AND(R21=1,K21=Q21),1/S21,0)</f>
        <v/>
      </c>
      <c r="V21" s="116">
        <f>IF(AND(R21=1,L21=Q21),1/S21,0)</f>
        <v/>
      </c>
      <c r="W21" s="116">
        <f>IF(AND(R21=1,M21=Q21),1/S21,0)</f>
        <v/>
      </c>
      <c r="X21" s="116">
        <f>IF(AND(R21=1,N21=Q21),1/S21,0)</f>
        <v/>
      </c>
      <c r="Y21" s="116">
        <f>IF(AND(R21=1,O21=Q21),1/S21,0)</f>
        <v/>
      </c>
      <c r="Z21" s="161">
        <f>IF(AND(R21=1,P21=Q21),1/S21,0)</f>
        <v/>
      </c>
    </row>
    <row r="22" ht="21" customHeight="1">
      <c r="A22" s="128" t="n">
        <v>54</v>
      </c>
      <c r="B22" s="106" t="n">
        <v>25</v>
      </c>
      <c r="C22" s="107" t="n">
        <v>25</v>
      </c>
      <c r="D22" s="107" t="n">
        <v>25</v>
      </c>
      <c r="E22" s="107" t="n">
        <v>50</v>
      </c>
      <c r="F22" s="107" t="n">
        <v>50</v>
      </c>
      <c r="G22" s="108" t="n">
        <v>25</v>
      </c>
      <c r="H22" s="149">
        <f>MAX(B22:G22)</f>
        <v/>
      </c>
      <c r="J22" s="154" t="n">
        <v>0</v>
      </c>
      <c r="K22" s="115">
        <f>B22-$K$1</f>
        <v/>
      </c>
      <c r="L22" s="115">
        <f>C22-$K$1</f>
        <v/>
      </c>
      <c r="M22" s="115">
        <f>D22-$K$1</f>
        <v/>
      </c>
      <c r="N22" s="115">
        <f>E22-$K$1</f>
        <v/>
      </c>
      <c r="O22" s="115">
        <f>F22-$K$1</f>
        <v/>
      </c>
      <c r="P22" s="155">
        <f>G22-$K$1</f>
        <v/>
      </c>
      <c r="Q22" s="116">
        <f>MAX(J22:P22)</f>
        <v/>
      </c>
      <c r="R22" s="116">
        <f>IF(MAX(K22:P22)&gt;=0,1,0)</f>
        <v/>
      </c>
      <c r="S22" s="117">
        <f>IF(R22=1,COUNTIF(K22:P22,Q22),0)</f>
        <v/>
      </c>
      <c r="U22" s="116">
        <f>IF(AND(R22=1,K22=Q22),1/S22,0)</f>
        <v/>
      </c>
      <c r="V22" s="116">
        <f>IF(AND(R22=1,L22=Q22),1/S22,0)</f>
        <v/>
      </c>
      <c r="W22" s="116">
        <f>IF(AND(R22=1,M22=Q22),1/S22,0)</f>
        <v/>
      </c>
      <c r="X22" s="116">
        <f>IF(AND(R22=1,N22=Q22),1/S22,0)</f>
        <v/>
      </c>
      <c r="Y22" s="116">
        <f>IF(AND(R22=1,O22=Q22),1/S22,0)</f>
        <v/>
      </c>
      <c r="Z22" s="161">
        <f>IF(AND(R22=1,P22=Q22),1/S22,0)</f>
        <v/>
      </c>
    </row>
    <row r="23" ht="21" customHeight="1">
      <c r="A23" s="128" t="n">
        <v>56</v>
      </c>
      <c r="B23" s="106" t="n">
        <v>100</v>
      </c>
      <c r="C23" s="107" t="n">
        <v>100</v>
      </c>
      <c r="D23" s="107" t="n">
        <v>100</v>
      </c>
      <c r="E23" s="107" t="n">
        <v>100</v>
      </c>
      <c r="F23" s="107" t="n">
        <v>100</v>
      </c>
      <c r="G23" s="108" t="n">
        <v>100</v>
      </c>
      <c r="H23" s="149">
        <f>MAX(B23:G23)</f>
        <v/>
      </c>
      <c r="J23" s="154" t="n">
        <v>0</v>
      </c>
      <c r="K23" s="115">
        <f>B23-$K$1</f>
        <v/>
      </c>
      <c r="L23" s="115">
        <f>C23-$K$1</f>
        <v/>
      </c>
      <c r="M23" s="115">
        <f>D23-$K$1</f>
        <v/>
      </c>
      <c r="N23" s="115">
        <f>E23-$K$1</f>
        <v/>
      </c>
      <c r="O23" s="115">
        <f>F23-$K$1</f>
        <v/>
      </c>
      <c r="P23" s="155">
        <f>G23-$K$1</f>
        <v/>
      </c>
      <c r="Q23" s="116">
        <f>MAX(J23:P23)</f>
        <v/>
      </c>
      <c r="R23" s="116">
        <f>IF(MAX(K23:P23)&gt;=0,1,0)</f>
        <v/>
      </c>
      <c r="S23" s="117">
        <f>IF(R23=1,COUNTIF(K23:P23,Q23),0)</f>
        <v/>
      </c>
      <c r="U23" s="116">
        <f>IF(AND(R23=1,K23=Q23),1/S23,0)</f>
        <v/>
      </c>
      <c r="V23" s="116">
        <f>IF(AND(R23=1,L23=Q23),1/S23,0)</f>
        <v/>
      </c>
      <c r="W23" s="116">
        <f>IF(AND(R23=1,M23=Q23),1/S23,0)</f>
        <v/>
      </c>
      <c r="X23" s="116">
        <f>IF(AND(R23=1,N23=Q23),1/S23,0)</f>
        <v/>
      </c>
      <c r="Y23" s="116">
        <f>IF(AND(R23=1,O23=Q23),1/S23,0)</f>
        <v/>
      </c>
      <c r="Z23" s="161">
        <f>IF(AND(R23=1,P23=Q23),1/S23,0)</f>
        <v/>
      </c>
    </row>
    <row r="24" ht="21" customHeight="1">
      <c r="A24" s="128" t="n">
        <v>58</v>
      </c>
      <c r="B24" s="106" t="n">
        <v>50</v>
      </c>
      <c r="C24" s="107" t="n">
        <v>50</v>
      </c>
      <c r="D24" s="107" t="n">
        <v>50</v>
      </c>
      <c r="E24" s="107" t="n">
        <v>50</v>
      </c>
      <c r="F24" s="107" t="n">
        <v>50</v>
      </c>
      <c r="G24" s="108" t="n">
        <v>50</v>
      </c>
      <c r="H24" s="149">
        <f>MAX(B24:G24)</f>
        <v/>
      </c>
      <c r="J24" s="154" t="n">
        <v>0</v>
      </c>
      <c r="K24" s="115">
        <f>B24-$K$1</f>
        <v/>
      </c>
      <c r="L24" s="115">
        <f>C24-$K$1</f>
        <v/>
      </c>
      <c r="M24" s="115">
        <f>D24-$K$1</f>
        <v/>
      </c>
      <c r="N24" s="115">
        <f>E24-$K$1</f>
        <v/>
      </c>
      <c r="O24" s="115">
        <f>F24-$K$1</f>
        <v/>
      </c>
      <c r="P24" s="155">
        <f>G24-$K$1</f>
        <v/>
      </c>
      <c r="Q24" s="116">
        <f>MAX(J24:P24)</f>
        <v/>
      </c>
      <c r="R24" s="116">
        <f>IF(MAX(K24:P24)&gt;=0,1,0)</f>
        <v/>
      </c>
      <c r="S24" s="117">
        <f>IF(R24=1,COUNTIF(K24:P24,Q24),0)</f>
        <v/>
      </c>
      <c r="U24" s="116">
        <f>IF(AND(R24=1,K24=Q24),1/S24,0)</f>
        <v/>
      </c>
      <c r="V24" s="116">
        <f>IF(AND(R24=1,L24=Q24),1/S24,0)</f>
        <v/>
      </c>
      <c r="W24" s="116">
        <f>IF(AND(R24=1,M24=Q24),1/S24,0)</f>
        <v/>
      </c>
      <c r="X24" s="116">
        <f>IF(AND(R24=1,N24=Q24),1/S24,0)</f>
        <v/>
      </c>
      <c r="Y24" s="116">
        <f>IF(AND(R24=1,O24=Q24),1/S24,0)</f>
        <v/>
      </c>
      <c r="Z24" s="161">
        <f>IF(AND(R24=1,P24=Q24),1/S24,0)</f>
        <v/>
      </c>
    </row>
    <row r="25" ht="21" customHeight="1">
      <c r="A25" s="128" t="n">
        <v>63</v>
      </c>
      <c r="B25" s="106" t="n">
        <v>50</v>
      </c>
      <c r="C25" s="107" t="n">
        <v>50</v>
      </c>
      <c r="D25" s="107" t="n">
        <v>50</v>
      </c>
      <c r="E25" s="107" t="n">
        <v>50</v>
      </c>
      <c r="F25" s="107" t="n">
        <v>50</v>
      </c>
      <c r="G25" s="108" t="n">
        <v>50</v>
      </c>
      <c r="H25" s="149">
        <f>MAX(B25:G25)</f>
        <v/>
      </c>
      <c r="J25" s="154" t="n">
        <v>0</v>
      </c>
      <c r="K25" s="115">
        <f>B25-$K$1</f>
        <v/>
      </c>
      <c r="L25" s="115">
        <f>C25-$K$1</f>
        <v/>
      </c>
      <c r="M25" s="115">
        <f>D25-$K$1</f>
        <v/>
      </c>
      <c r="N25" s="115">
        <f>E25-$K$1</f>
        <v/>
      </c>
      <c r="O25" s="115">
        <f>F25-$K$1</f>
        <v/>
      </c>
      <c r="P25" s="155">
        <f>G25-$K$1</f>
        <v/>
      </c>
      <c r="Q25" s="116">
        <f>MAX(J25:P25)</f>
        <v/>
      </c>
      <c r="R25" s="116">
        <f>IF(MAX(K25:P25)&gt;=0,1,0)</f>
        <v/>
      </c>
      <c r="S25" s="117">
        <f>IF(R25=1,COUNTIF(K25:P25,Q25),0)</f>
        <v/>
      </c>
      <c r="U25" s="116">
        <f>IF(AND(R25=1,K25=Q25),1/S25,0)</f>
        <v/>
      </c>
      <c r="V25" s="116">
        <f>IF(AND(R25=1,L25=Q25),1/S25,0)</f>
        <v/>
      </c>
      <c r="W25" s="116">
        <f>IF(AND(R25=1,M25=Q25),1/S25,0)</f>
        <v/>
      </c>
      <c r="X25" s="116">
        <f>IF(AND(R25=1,N25=Q25),1/S25,0)</f>
        <v/>
      </c>
      <c r="Y25" s="116">
        <f>IF(AND(R25=1,O25=Q25),1/S25,0)</f>
        <v/>
      </c>
      <c r="Z25" s="161">
        <f>IF(AND(R25=1,P25=Q25),1/S25,0)</f>
        <v/>
      </c>
    </row>
    <row r="26" ht="21" customHeight="1">
      <c r="A26" s="128" t="n">
        <v>65</v>
      </c>
      <c r="B26" s="106" t="n">
        <v>25</v>
      </c>
      <c r="C26" s="107" t="n">
        <v>50</v>
      </c>
      <c r="D26" s="107" t="n">
        <v>50</v>
      </c>
      <c r="E26" s="107" t="n">
        <v>50</v>
      </c>
      <c r="F26" s="107" t="n">
        <v>50</v>
      </c>
      <c r="G26" s="108" t="n">
        <v>25</v>
      </c>
      <c r="H26" s="149">
        <f>MAX(B26:G26)</f>
        <v/>
      </c>
      <c r="J26" s="154" t="n">
        <v>0</v>
      </c>
      <c r="K26" s="115">
        <f>B26-$K$1</f>
        <v/>
      </c>
      <c r="L26" s="115">
        <f>C26-$K$1</f>
        <v/>
      </c>
      <c r="M26" s="115">
        <f>D26-$K$1</f>
        <v/>
      </c>
      <c r="N26" s="115">
        <f>E26-$K$1</f>
        <v/>
      </c>
      <c r="O26" s="115">
        <f>F26-$K$1</f>
        <v/>
      </c>
      <c r="P26" s="155">
        <f>G26-$K$1</f>
        <v/>
      </c>
      <c r="Q26" s="116">
        <f>MAX(J26:P26)</f>
        <v/>
      </c>
      <c r="R26" s="116">
        <f>IF(MAX(K26:P26)&gt;=0,1,0)</f>
        <v/>
      </c>
      <c r="S26" s="117">
        <f>IF(R26=1,COUNTIF(K26:P26,Q26),0)</f>
        <v/>
      </c>
      <c r="U26" s="116">
        <f>IF(AND(R26=1,K26=Q26),1/S26,0)</f>
        <v/>
      </c>
      <c r="V26" s="116">
        <f>IF(AND(R26=1,L26=Q26),1/S26,0)</f>
        <v/>
      </c>
      <c r="W26" s="116">
        <f>IF(AND(R26=1,M26=Q26),1/S26,0)</f>
        <v/>
      </c>
      <c r="X26" s="116">
        <f>IF(AND(R26=1,N26=Q26),1/S26,0)</f>
        <v/>
      </c>
      <c r="Y26" s="116">
        <f>IF(AND(R26=1,O26=Q26),1/S26,0)</f>
        <v/>
      </c>
      <c r="Z26" s="161">
        <f>IF(AND(R26=1,P26=Q26),1/S26,0)</f>
        <v/>
      </c>
    </row>
    <row r="27" ht="21" customHeight="1">
      <c r="A27" s="128" t="n">
        <v>68</v>
      </c>
      <c r="B27" s="106" t="n">
        <v>75</v>
      </c>
      <c r="C27" s="107" t="n">
        <v>25</v>
      </c>
      <c r="D27" s="107" t="n">
        <v>25</v>
      </c>
      <c r="E27" s="107" t="n">
        <v>25</v>
      </c>
      <c r="F27" s="107" t="n">
        <v>25</v>
      </c>
      <c r="G27" s="108" t="n">
        <v>75</v>
      </c>
      <c r="H27" s="149">
        <f>MAX(B27:G27)</f>
        <v/>
      </c>
      <c r="J27" s="154" t="n">
        <v>0</v>
      </c>
      <c r="K27" s="115">
        <f>B27-$K$1</f>
        <v/>
      </c>
      <c r="L27" s="115">
        <f>C27-$K$1</f>
        <v/>
      </c>
      <c r="M27" s="115">
        <f>D27-$K$1</f>
        <v/>
      </c>
      <c r="N27" s="115">
        <f>E27-$K$1</f>
        <v/>
      </c>
      <c r="O27" s="115">
        <f>F27-$K$1</f>
        <v/>
      </c>
      <c r="P27" s="155">
        <f>G27-$K$1</f>
        <v/>
      </c>
      <c r="Q27" s="116">
        <f>MAX(J27:P27)</f>
        <v/>
      </c>
      <c r="R27" s="116">
        <f>IF(MAX(K27:P27)&gt;=0,1,0)</f>
        <v/>
      </c>
      <c r="S27" s="117">
        <f>IF(R27=1,COUNTIF(K27:P27,Q27),0)</f>
        <v/>
      </c>
      <c r="U27" s="116">
        <f>IF(AND(R27=1,K27=Q27),1/S27,0)</f>
        <v/>
      </c>
      <c r="V27" s="116">
        <f>IF(AND(R27=1,L27=Q27),1/S27,0)</f>
        <v/>
      </c>
      <c r="W27" s="116">
        <f>IF(AND(R27=1,M27=Q27),1/S27,0)</f>
        <v/>
      </c>
      <c r="X27" s="116">
        <f>IF(AND(R27=1,N27=Q27),1/S27,0)</f>
        <v/>
      </c>
      <c r="Y27" s="116">
        <f>IF(AND(R27=1,O27=Q27),1/S27,0)</f>
        <v/>
      </c>
      <c r="Z27" s="161">
        <f>IF(AND(R27=1,P27=Q27),1/S27,0)</f>
        <v/>
      </c>
    </row>
    <row r="28" ht="21" customHeight="1">
      <c r="A28" s="128" t="n">
        <v>72</v>
      </c>
      <c r="B28" s="106" t="n">
        <v>50</v>
      </c>
      <c r="C28" s="107" t="n">
        <v>50</v>
      </c>
      <c r="D28" s="107" t="n">
        <v>50</v>
      </c>
      <c r="E28" s="107" t="n">
        <v>50</v>
      </c>
      <c r="F28" s="107" t="n">
        <v>75</v>
      </c>
      <c r="G28" s="108" t="n">
        <v>50</v>
      </c>
      <c r="H28" s="149">
        <f>MAX(B28:G28)</f>
        <v/>
      </c>
      <c r="J28" s="154" t="n">
        <v>0</v>
      </c>
      <c r="K28" s="115">
        <f>B28-$K$1</f>
        <v/>
      </c>
      <c r="L28" s="115">
        <f>C28-$K$1</f>
        <v/>
      </c>
      <c r="M28" s="115">
        <f>D28-$K$1</f>
        <v/>
      </c>
      <c r="N28" s="115">
        <f>E28-$K$1</f>
        <v/>
      </c>
      <c r="O28" s="115">
        <f>F28-$K$1</f>
        <v/>
      </c>
      <c r="P28" s="155">
        <f>G28-$K$1</f>
        <v/>
      </c>
      <c r="Q28" s="116">
        <f>MAX(J28:P28)</f>
        <v/>
      </c>
      <c r="R28" s="116">
        <f>IF(MAX(K28:P28)&gt;=0,1,0)</f>
        <v/>
      </c>
      <c r="S28" s="117">
        <f>IF(R28=1,COUNTIF(K28:P28,Q28),0)</f>
        <v/>
      </c>
      <c r="U28" s="116">
        <f>IF(AND(R28=1,K28=Q28),1/S28,0)</f>
        <v/>
      </c>
      <c r="V28" s="116">
        <f>IF(AND(R28=1,L28=Q28),1/S28,0)</f>
        <v/>
      </c>
      <c r="W28" s="116">
        <f>IF(AND(R28=1,M28=Q28),1/S28,0)</f>
        <v/>
      </c>
      <c r="X28" s="116">
        <f>IF(AND(R28=1,N28=Q28),1/S28,0)</f>
        <v/>
      </c>
      <c r="Y28" s="116">
        <f>IF(AND(R28=1,O28=Q28),1/S28,0)</f>
        <v/>
      </c>
      <c r="Z28" s="161">
        <f>IF(AND(R28=1,P28=Q28),1/S28,0)</f>
        <v/>
      </c>
    </row>
    <row r="29" ht="21" customHeight="1">
      <c r="A29" s="128" t="n">
        <v>77</v>
      </c>
      <c r="B29" s="106" t="n">
        <v>50</v>
      </c>
      <c r="C29" s="107" t="n">
        <v>25</v>
      </c>
      <c r="D29" s="107" t="n">
        <v>25</v>
      </c>
      <c r="E29" s="107" t="n">
        <v>25</v>
      </c>
      <c r="F29" s="107" t="n">
        <v>50</v>
      </c>
      <c r="G29" s="108" t="n">
        <v>25</v>
      </c>
      <c r="H29" s="149">
        <f>MAX(B29:G29)</f>
        <v/>
      </c>
      <c r="J29" s="154" t="n">
        <v>0</v>
      </c>
      <c r="K29" s="115">
        <f>B29-$K$1</f>
        <v/>
      </c>
      <c r="L29" s="115">
        <f>C29-$K$1</f>
        <v/>
      </c>
      <c r="M29" s="115">
        <f>D29-$K$1</f>
        <v/>
      </c>
      <c r="N29" s="115">
        <f>E29-$K$1</f>
        <v/>
      </c>
      <c r="O29" s="115">
        <f>F29-$K$1</f>
        <v/>
      </c>
      <c r="P29" s="155">
        <f>G29-$K$1</f>
        <v/>
      </c>
      <c r="Q29" s="116">
        <f>MAX(J29:P29)</f>
        <v/>
      </c>
      <c r="R29" s="116">
        <f>IF(MAX(K29:P29)&gt;=0,1,0)</f>
        <v/>
      </c>
      <c r="S29" s="117">
        <f>IF(R29=1,COUNTIF(K29:P29,Q29),0)</f>
        <v/>
      </c>
      <c r="U29" s="116">
        <f>IF(AND(R29=1,K29=Q29),1/S29,0)</f>
        <v/>
      </c>
      <c r="V29" s="116">
        <f>IF(AND(R29=1,L29=Q29),1/S29,0)</f>
        <v/>
      </c>
      <c r="W29" s="116">
        <f>IF(AND(R29=1,M29=Q29),1/S29,0)</f>
        <v/>
      </c>
      <c r="X29" s="116">
        <f>IF(AND(R29=1,N29=Q29),1/S29,0)</f>
        <v/>
      </c>
      <c r="Y29" s="116">
        <f>IF(AND(R29=1,O29=Q29),1/S29,0)</f>
        <v/>
      </c>
      <c r="Z29" s="161">
        <f>IF(AND(R29=1,P29=Q29),1/S29,0)</f>
        <v/>
      </c>
    </row>
    <row r="30" ht="21" customHeight="1">
      <c r="A30" s="128" t="n">
        <v>83</v>
      </c>
      <c r="B30" s="106" t="n">
        <v>25</v>
      </c>
      <c r="C30" s="107" t="n">
        <v>25</v>
      </c>
      <c r="D30" s="107" t="n">
        <v>25</v>
      </c>
      <c r="E30" s="107" t="n">
        <v>25</v>
      </c>
      <c r="F30" s="107" t="n">
        <v>25</v>
      </c>
      <c r="G30" s="108" t="n">
        <v>25</v>
      </c>
      <c r="H30" s="149">
        <f>MAX(B30:G30)</f>
        <v/>
      </c>
      <c r="J30" s="154" t="n">
        <v>0</v>
      </c>
      <c r="K30" s="115">
        <f>B30-$K$1</f>
        <v/>
      </c>
      <c r="L30" s="115">
        <f>C30-$K$1</f>
        <v/>
      </c>
      <c r="M30" s="115">
        <f>D30-$K$1</f>
        <v/>
      </c>
      <c r="N30" s="115">
        <f>E30-$K$1</f>
        <v/>
      </c>
      <c r="O30" s="115">
        <f>F30-$K$1</f>
        <v/>
      </c>
      <c r="P30" s="155">
        <f>G30-$K$1</f>
        <v/>
      </c>
      <c r="Q30" s="116">
        <f>MAX(J30:P30)</f>
        <v/>
      </c>
      <c r="R30" s="116">
        <f>IF(MAX(K30:P30)&gt;=0,1,0)</f>
        <v/>
      </c>
      <c r="S30" s="117">
        <f>IF(R30=1,COUNTIF(K30:P30,Q30),0)</f>
        <v/>
      </c>
      <c r="U30" s="116">
        <f>IF(AND(R30=1,K30=Q30),1/S30,0)</f>
        <v/>
      </c>
      <c r="V30" s="116">
        <f>IF(AND(R30=1,L30=Q30),1/S30,0)</f>
        <v/>
      </c>
      <c r="W30" s="116">
        <f>IF(AND(R30=1,M30=Q30),1/S30,0)</f>
        <v/>
      </c>
      <c r="X30" s="116">
        <f>IF(AND(R30=1,N30=Q30),1/S30,0)</f>
        <v/>
      </c>
      <c r="Y30" s="116">
        <f>IF(AND(R30=1,O30=Q30),1/S30,0)</f>
        <v/>
      </c>
      <c r="Z30" s="161">
        <f>IF(AND(R30=1,P30=Q30),1/S30,0)</f>
        <v/>
      </c>
    </row>
    <row r="31" ht="21" customHeight="1">
      <c r="A31" s="128" t="n">
        <v>90</v>
      </c>
      <c r="B31" s="106" t="n">
        <v>75</v>
      </c>
      <c r="C31" s="107" t="n">
        <v>75</v>
      </c>
      <c r="D31" s="107" t="n">
        <v>75</v>
      </c>
      <c r="E31" s="107" t="n">
        <v>75</v>
      </c>
      <c r="F31" s="107" t="n">
        <v>75</v>
      </c>
      <c r="G31" s="108" t="n">
        <v>75</v>
      </c>
      <c r="H31" s="149">
        <f>MAX(B31:G31)</f>
        <v/>
      </c>
      <c r="J31" s="154" t="n">
        <v>0</v>
      </c>
      <c r="K31" s="115">
        <f>B31-$K$1</f>
        <v/>
      </c>
      <c r="L31" s="115">
        <f>C31-$K$1</f>
        <v/>
      </c>
      <c r="M31" s="115">
        <f>D31-$K$1</f>
        <v/>
      </c>
      <c r="N31" s="115">
        <f>E31-$K$1</f>
        <v/>
      </c>
      <c r="O31" s="115">
        <f>F31-$K$1</f>
        <v/>
      </c>
      <c r="P31" s="155">
        <f>G31-$K$1</f>
        <v/>
      </c>
      <c r="Q31" s="116">
        <f>MAX(J31:P31)</f>
        <v/>
      </c>
      <c r="R31" s="116">
        <f>IF(MAX(K31:P31)&gt;=0,1,0)</f>
        <v/>
      </c>
      <c r="S31" s="117">
        <f>IF(R31=1,COUNTIF(K31:P31,Q31),0)</f>
        <v/>
      </c>
      <c r="U31" s="116">
        <f>IF(AND(R31=1,K31=Q31),1/S31,0)</f>
        <v/>
      </c>
      <c r="V31" s="116">
        <f>IF(AND(R31=1,L31=Q31),1/S31,0)</f>
        <v/>
      </c>
      <c r="W31" s="116">
        <f>IF(AND(R31=1,M31=Q31),1/S31,0)</f>
        <v/>
      </c>
      <c r="X31" s="116">
        <f>IF(AND(R31=1,N31=Q31),1/S31,0)</f>
        <v/>
      </c>
      <c r="Y31" s="116">
        <f>IF(AND(R31=1,O31=Q31),1/S31,0)</f>
        <v/>
      </c>
      <c r="Z31" s="161">
        <f>IF(AND(R31=1,P31=Q31),1/S31,0)</f>
        <v/>
      </c>
    </row>
    <row r="32" ht="21" customHeight="1">
      <c r="A32" s="128" t="n">
        <v>91</v>
      </c>
      <c r="B32" s="106" t="n">
        <v>50</v>
      </c>
      <c r="C32" s="107" t="n">
        <v>50</v>
      </c>
      <c r="D32" s="107" t="n">
        <v>50</v>
      </c>
      <c r="E32" s="107" t="n">
        <v>50</v>
      </c>
      <c r="F32" s="107" t="n">
        <v>50</v>
      </c>
      <c r="G32" s="108" t="n">
        <v>50</v>
      </c>
      <c r="H32" s="149">
        <f>MAX(B32:G32)</f>
        <v/>
      </c>
      <c r="J32" s="154" t="n">
        <v>0</v>
      </c>
      <c r="K32" s="115">
        <f>B32-$K$1</f>
        <v/>
      </c>
      <c r="L32" s="115">
        <f>C32-$K$1</f>
        <v/>
      </c>
      <c r="M32" s="115">
        <f>D32-$K$1</f>
        <v/>
      </c>
      <c r="N32" s="115">
        <f>E32-$K$1</f>
        <v/>
      </c>
      <c r="O32" s="115">
        <f>F32-$K$1</f>
        <v/>
      </c>
      <c r="P32" s="155">
        <f>G32-$K$1</f>
        <v/>
      </c>
      <c r="Q32" s="116">
        <f>MAX(J32:P32)</f>
        <v/>
      </c>
      <c r="R32" s="116">
        <f>IF(MAX(K32:P32)&gt;=0,1,0)</f>
        <v/>
      </c>
      <c r="S32" s="117">
        <f>IF(R32=1,COUNTIF(K32:P32,Q32),0)</f>
        <v/>
      </c>
      <c r="U32" s="116">
        <f>IF(AND(R32=1,K32=Q32),1/S32,0)</f>
        <v/>
      </c>
      <c r="V32" s="116">
        <f>IF(AND(R32=1,L32=Q32),1/S32,0)</f>
        <v/>
      </c>
      <c r="W32" s="116">
        <f>IF(AND(R32=1,M32=Q32),1/S32,0)</f>
        <v/>
      </c>
      <c r="X32" s="116">
        <f>IF(AND(R32=1,N32=Q32),1/S32,0)</f>
        <v/>
      </c>
      <c r="Y32" s="116">
        <f>IF(AND(R32=1,O32=Q32),1/S32,0)</f>
        <v/>
      </c>
      <c r="Z32" s="161">
        <f>IF(AND(R32=1,P32=Q32),1/S32,0)</f>
        <v/>
      </c>
    </row>
    <row r="33" ht="21" customHeight="1">
      <c r="A33" s="128" t="n">
        <v>98</v>
      </c>
      <c r="B33" s="106" t="n">
        <v>50</v>
      </c>
      <c r="C33" s="107" t="n">
        <v>25</v>
      </c>
      <c r="D33" s="107" t="n">
        <v>25</v>
      </c>
      <c r="E33" s="107" t="n">
        <v>25</v>
      </c>
      <c r="F33" s="107" t="n">
        <v>75</v>
      </c>
      <c r="G33" s="108" t="n">
        <v>75</v>
      </c>
      <c r="H33" s="149">
        <f>MAX(B33:G33)</f>
        <v/>
      </c>
      <c r="J33" s="154" t="n">
        <v>0</v>
      </c>
      <c r="K33" s="115">
        <f>B33-$K$1</f>
        <v/>
      </c>
      <c r="L33" s="115">
        <f>C33-$K$1</f>
        <v/>
      </c>
      <c r="M33" s="115">
        <f>D33-$K$1</f>
        <v/>
      </c>
      <c r="N33" s="115">
        <f>E33-$K$1</f>
        <v/>
      </c>
      <c r="O33" s="115">
        <f>F33-$K$1</f>
        <v/>
      </c>
      <c r="P33" s="155">
        <f>G33-$K$1</f>
        <v/>
      </c>
      <c r="Q33" s="116">
        <f>MAX(J33:P33)</f>
        <v/>
      </c>
      <c r="R33" s="116">
        <f>IF(MAX(K33:P33)&gt;=0,1,0)</f>
        <v/>
      </c>
      <c r="S33" s="117">
        <f>IF(R33=1,COUNTIF(K33:P33,Q33),0)</f>
        <v/>
      </c>
      <c r="U33" s="116">
        <f>IF(AND(R33=1,K33=Q33),1/S33,0)</f>
        <v/>
      </c>
      <c r="V33" s="116">
        <f>IF(AND(R33=1,L33=Q33),1/S33,0)</f>
        <v/>
      </c>
      <c r="W33" s="116">
        <f>IF(AND(R33=1,M33=Q33),1/S33,0)</f>
        <v/>
      </c>
      <c r="X33" s="116">
        <f>IF(AND(R33=1,N33=Q33),1/S33,0)</f>
        <v/>
      </c>
      <c r="Y33" s="116">
        <f>IF(AND(R33=1,O33=Q33),1/S33,0)</f>
        <v/>
      </c>
      <c r="Z33" s="161">
        <f>IF(AND(R33=1,P33=Q33),1/S33,0)</f>
        <v/>
      </c>
    </row>
    <row r="34" ht="21" customHeight="1">
      <c r="A34" s="128" t="n">
        <v>99</v>
      </c>
      <c r="B34" s="106" t="n">
        <v>75</v>
      </c>
      <c r="C34" s="107" t="n">
        <v>75</v>
      </c>
      <c r="D34" s="107" t="n">
        <v>75</v>
      </c>
      <c r="E34" s="107" t="n">
        <v>75</v>
      </c>
      <c r="F34" s="107" t="n">
        <v>75</v>
      </c>
      <c r="G34" s="108" t="n">
        <v>75</v>
      </c>
      <c r="H34" s="149">
        <f>MAX(B34:G34)</f>
        <v/>
      </c>
      <c r="J34" s="154" t="n">
        <v>0</v>
      </c>
      <c r="K34" s="115">
        <f>B34-$K$1</f>
        <v/>
      </c>
      <c r="L34" s="115">
        <f>C34-$K$1</f>
        <v/>
      </c>
      <c r="M34" s="115">
        <f>D34-$K$1</f>
        <v/>
      </c>
      <c r="N34" s="115">
        <f>E34-$K$1</f>
        <v/>
      </c>
      <c r="O34" s="115">
        <f>F34-$K$1</f>
        <v/>
      </c>
      <c r="P34" s="155">
        <f>G34-$K$1</f>
        <v/>
      </c>
      <c r="Q34" s="116">
        <f>MAX(J34:P34)</f>
        <v/>
      </c>
      <c r="R34" s="116">
        <f>IF(MAX(K34:P34)&gt;=0,1,0)</f>
        <v/>
      </c>
      <c r="S34" s="117">
        <f>IF(R34=1,COUNTIF(K34:P34,Q34),0)</f>
        <v/>
      </c>
      <c r="U34" s="116">
        <f>IF(AND(R34=1,K34=Q34),1/S34,0)</f>
        <v/>
      </c>
      <c r="V34" s="116">
        <f>IF(AND(R34=1,L34=Q34),1/S34,0)</f>
        <v/>
      </c>
      <c r="W34" s="116">
        <f>IF(AND(R34=1,M34=Q34),1/S34,0)</f>
        <v/>
      </c>
      <c r="X34" s="116">
        <f>IF(AND(R34=1,N34=Q34),1/S34,0)</f>
        <v/>
      </c>
      <c r="Y34" s="116">
        <f>IF(AND(R34=1,O34=Q34),1/S34,0)</f>
        <v/>
      </c>
      <c r="Z34" s="161">
        <f>IF(AND(R34=1,P34=Q34),1/S34,0)</f>
        <v/>
      </c>
    </row>
    <row r="35" ht="21" customHeight="1">
      <c r="A35" s="128" t="n">
        <v>107</v>
      </c>
      <c r="B35" s="106" t="n">
        <v>125</v>
      </c>
      <c r="C35" s="107" t="n">
        <v>100</v>
      </c>
      <c r="D35" s="107" t="n">
        <v>100</v>
      </c>
      <c r="E35" s="107" t="n">
        <v>100</v>
      </c>
      <c r="F35" s="107" t="n">
        <v>125</v>
      </c>
      <c r="G35" s="108" t="n">
        <v>100</v>
      </c>
      <c r="H35" s="149">
        <f>MAX(B35:G35)</f>
        <v/>
      </c>
      <c r="J35" s="154" t="n">
        <v>0</v>
      </c>
      <c r="K35" s="115">
        <f>B35-$K$1</f>
        <v/>
      </c>
      <c r="L35" s="115">
        <f>C35-$K$1</f>
        <v/>
      </c>
      <c r="M35" s="115">
        <f>D35-$K$1</f>
        <v/>
      </c>
      <c r="N35" s="115">
        <f>E35-$K$1</f>
        <v/>
      </c>
      <c r="O35" s="115">
        <f>F35-$K$1</f>
        <v/>
      </c>
      <c r="P35" s="155">
        <f>G35-$K$1</f>
        <v/>
      </c>
      <c r="Q35" s="116">
        <f>MAX(J35:P35)</f>
        <v/>
      </c>
      <c r="R35" s="116">
        <f>IF(MAX(K35:P35)&gt;=0,1,0)</f>
        <v/>
      </c>
      <c r="S35" s="117">
        <f>IF(R35=1,COUNTIF(K35:P35,Q35),0)</f>
        <v/>
      </c>
      <c r="U35" s="116">
        <f>IF(AND(R35=1,K35=Q35),1/S35,0)</f>
        <v/>
      </c>
      <c r="V35" s="116">
        <f>IF(AND(R35=1,L35=Q35),1/S35,0)</f>
        <v/>
      </c>
      <c r="W35" s="116">
        <f>IF(AND(R35=1,M35=Q35),1/S35,0)</f>
        <v/>
      </c>
      <c r="X35" s="116">
        <f>IF(AND(R35=1,N35=Q35),1/S35,0)</f>
        <v/>
      </c>
      <c r="Y35" s="116">
        <f>IF(AND(R35=1,O35=Q35),1/S35,0)</f>
        <v/>
      </c>
      <c r="Z35" s="161">
        <f>IF(AND(R35=1,P35=Q35),1/S35,0)</f>
        <v/>
      </c>
    </row>
    <row r="36" ht="21" customHeight="1">
      <c r="A36" s="129" t="n">
        <v>112</v>
      </c>
      <c r="B36" s="145" t="n">
        <v>25</v>
      </c>
      <c r="C36" s="130" t="n">
        <v>25</v>
      </c>
      <c r="D36" s="130" t="n">
        <v>25</v>
      </c>
      <c r="E36" s="130" t="n">
        <v>25</v>
      </c>
      <c r="F36" s="130" t="n">
        <v>25</v>
      </c>
      <c r="G36" s="146" t="n">
        <v>25</v>
      </c>
      <c r="H36" s="150">
        <f>MAX(B36:G36)</f>
        <v/>
      </c>
      <c r="I36" s="132" t="n"/>
      <c r="J36" s="156" t="n">
        <v>0</v>
      </c>
      <c r="K36" s="134">
        <f>B36-$K$1</f>
        <v/>
      </c>
      <c r="L36" s="134">
        <f>C36-$K$1</f>
        <v/>
      </c>
      <c r="M36" s="134">
        <f>D36-$K$1</f>
        <v/>
      </c>
      <c r="N36" s="134">
        <f>E36-$K$1</f>
        <v/>
      </c>
      <c r="O36" s="134">
        <f>F36-$K$1</f>
        <v/>
      </c>
      <c r="P36" s="157">
        <f>G36-$K$1</f>
        <v/>
      </c>
      <c r="Q36" s="135">
        <f>MAX(J36:P36)</f>
        <v/>
      </c>
      <c r="R36" s="116">
        <f>IF(MAX(K36:P36)&gt;=0,1,0)</f>
        <v/>
      </c>
      <c r="S36" s="136">
        <f>IF(R36=1,COUNTIF(K36:P36,Q36),0)</f>
        <v/>
      </c>
      <c r="U36" s="135">
        <f>IF(AND(R36=1,K36=Q36),1/S36,0)</f>
        <v/>
      </c>
      <c r="V36" s="135">
        <f>IF(AND(R36=1,L36=Q36),1/S36,0)</f>
        <v/>
      </c>
      <c r="W36" s="135">
        <f>IF(AND(R36=1,M36=Q36),1/S36,0)</f>
        <v/>
      </c>
      <c r="X36" s="135">
        <f>IF(AND(R36=1,N36=Q36),1/S36,0)</f>
        <v/>
      </c>
      <c r="Y36" s="135">
        <f>IF(AND(R36=1,O36=Q36),1/S36,0)</f>
        <v/>
      </c>
      <c r="Z36" s="163">
        <f>IF(AND(R36=1,P36=Q36),1/S36,0)</f>
        <v/>
      </c>
    </row>
    <row r="37" ht="21" customHeight="1">
      <c r="R37" s="184" t="n"/>
      <c r="S37" s="114" t="n"/>
      <c r="T37" s="164" t="inlineStr">
        <is>
          <t>Total Student Demand</t>
        </is>
      </c>
      <c r="U37" s="165">
        <f>SUM(U4:U36)</f>
        <v/>
      </c>
      <c r="V37" s="165">
        <f>SUM(V4:V36)</f>
        <v/>
      </c>
      <c r="W37" s="165">
        <f>SUM(W4:W36)</f>
        <v/>
      </c>
      <c r="X37" s="165">
        <f>SUM(X4:X36)</f>
        <v/>
      </c>
      <c r="Y37" s="165">
        <f>SUM(Y4:Y36)</f>
        <v/>
      </c>
      <c r="Z37" s="165">
        <f>SUM(Z4:Z36)</f>
        <v/>
      </c>
    </row>
    <row r="38" ht="21" customHeight="1">
      <c r="U38" s="114" t="n"/>
      <c r="V38" s="114" t="n"/>
      <c r="W38" s="114" t="n"/>
      <c r="X38" s="114" t="n"/>
      <c r="Y38" s="114" t="n"/>
      <c r="Z38" s="114" t="n"/>
    </row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>
      <c r="Q46" s="118" t="n"/>
      <c r="R46" s="118" t="n"/>
    </row>
    <row r="47" ht="21" customHeight="1">
      <c r="Q47" s="118" t="n"/>
      <c r="R47" s="118" t="n"/>
    </row>
    <row r="48" ht="21" customHeight="1">
      <c r="Q48" s="118" t="n"/>
      <c r="R48" s="118" t="n"/>
    </row>
    <row r="49" ht="21" customHeight="1">
      <c r="Q49" s="118" t="n"/>
      <c r="R49" s="118" t="n"/>
    </row>
    <row r="50" ht="21" customHeight="1">
      <c r="Q50" s="118" t="n"/>
      <c r="R50" s="118" t="n"/>
    </row>
    <row r="51" ht="21" customHeight="1">
      <c r="Q51" s="118" t="n"/>
      <c r="R51" s="118" t="n"/>
    </row>
  </sheetData>
  <mergeCells count="3">
    <mergeCell ref="B2:G2"/>
    <mergeCell ref="J2:P2"/>
    <mergeCell ref="U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selection activeCell="M17" sqref="M17"/>
    </sheetView>
  </sheetViews>
  <sheetFormatPr baseColWidth="10" defaultColWidth="8.83203125" defaultRowHeight="13"/>
  <cols>
    <col width="11.6640625" bestFit="1" customWidth="1" style="110" min="1" max="1"/>
    <col width="13.5" bestFit="1" customWidth="1" style="110" min="2" max="2"/>
    <col width="13.83203125" bestFit="1" customWidth="1" style="110" min="3" max="3"/>
    <col width="14" bestFit="1" customWidth="1" style="110" min="4" max="4"/>
    <col width="13.5" bestFit="1" customWidth="1" style="110" min="5" max="6"/>
    <col width="14" bestFit="1" customWidth="1" style="110" min="7" max="7"/>
    <col width="9.33203125" bestFit="1" customWidth="1" style="111" min="8" max="8"/>
    <col width="8.83203125" customWidth="1" style="111" min="9" max="9"/>
    <col width="15.5" bestFit="1" customWidth="1" style="113" min="10" max="10"/>
    <col width="14.1640625" bestFit="1" customWidth="1" style="113" min="11" max="11"/>
    <col width="14.83203125" bestFit="1" customWidth="1" style="113" min="12" max="13"/>
    <col width="14.1640625" bestFit="1" customWidth="1" style="113" min="14" max="15"/>
    <col width="15" bestFit="1" customWidth="1" style="113" min="16" max="16"/>
    <col width="14.5" bestFit="1" customWidth="1" style="114" min="17" max="17"/>
    <col width="4.5" bestFit="1" customWidth="1" style="114" min="18" max="18"/>
    <col width="25.33203125" bestFit="1" customWidth="1" style="113" min="19" max="19"/>
    <col width="26.1640625" bestFit="1" customWidth="1" style="113" min="20" max="20"/>
    <col width="14.1640625" bestFit="1" customWidth="1" style="113" min="21" max="21"/>
    <col width="14.83203125" bestFit="1" customWidth="1" style="113" min="22" max="23"/>
    <col width="14.1640625" bestFit="1" customWidth="1" style="113" min="24" max="25"/>
    <col width="15" bestFit="1" customWidth="1" style="113" min="26" max="26"/>
    <col width="8.83203125" customWidth="1" style="3" min="27" max="16384"/>
  </cols>
  <sheetData>
    <row r="1">
      <c r="H1" s="123" t="n"/>
      <c r="I1" s="123" t="n"/>
      <c r="J1" s="283" t="inlineStr">
        <is>
          <t>Non Student Price</t>
        </is>
      </c>
      <c r="K1" s="284" t="n">
        <v>75</v>
      </c>
      <c r="L1" s="125" t="n"/>
      <c r="M1" s="125" t="n"/>
      <c r="N1" s="125" t="n"/>
      <c r="O1" s="125" t="n"/>
      <c r="P1" s="125" t="n"/>
      <c r="Q1" s="126" t="n"/>
      <c r="R1" s="126" t="n"/>
      <c r="S1" s="125" t="n"/>
      <c r="U1" s="125" t="n"/>
      <c r="V1" s="125" t="n"/>
      <c r="W1" s="125" t="n"/>
      <c r="X1" s="125" t="n"/>
      <c r="Y1" s="125" t="n"/>
      <c r="Z1" s="127" t="n"/>
    </row>
    <row r="2" ht="21" customFormat="1" customHeight="1" s="293">
      <c r="A2" s="171" t="inlineStr">
        <is>
          <t>Client</t>
        </is>
      </c>
      <c r="B2" s="249" t="inlineStr">
        <is>
          <t>MAXIMUM WTP for each time period</t>
        </is>
      </c>
      <c r="C2" s="287" t="n"/>
      <c r="D2" s="287" t="n"/>
      <c r="E2" s="287" t="n"/>
      <c r="F2" s="287" t="n"/>
      <c r="G2" s="288" t="n"/>
      <c r="H2" s="166" t="inlineStr">
        <is>
          <t>Max.WTP</t>
        </is>
      </c>
      <c r="I2" s="142" t="n"/>
      <c r="J2" s="290" t="inlineStr">
        <is>
          <t>Net Utility</t>
        </is>
      </c>
      <c r="K2" s="287" t="n"/>
      <c r="L2" s="287" t="n"/>
      <c r="M2" s="287" t="n"/>
      <c r="N2" s="287" t="n"/>
      <c r="O2" s="287" t="n"/>
      <c r="P2" s="288" t="n"/>
      <c r="Q2" s="159" t="inlineStr">
        <is>
          <t>Max Net Utility</t>
        </is>
      </c>
      <c r="R2" s="144" t="inlineStr">
        <is>
          <t>Buy</t>
        </is>
      </c>
      <c r="S2" s="289" t="inlineStr">
        <is>
          <t># Acceptable Time Slots</t>
        </is>
      </c>
      <c r="T2" s="285" t="n"/>
      <c r="U2" s="290" t="inlineStr">
        <is>
          <t>Probability of Buying a Time Slot</t>
        </is>
      </c>
      <c r="V2" s="287" t="n"/>
      <c r="W2" s="287" t="n"/>
      <c r="X2" s="287" t="n"/>
      <c r="Y2" s="287" t="n"/>
      <c r="Z2" s="288" t="n"/>
    </row>
    <row r="3" ht="21" customFormat="1" customHeight="1" s="293">
      <c r="A3" s="172" t="inlineStr">
        <is>
          <t>ID</t>
        </is>
      </c>
      <c r="B3" s="173" t="inlineStr">
        <is>
          <t>6am-9am</t>
        </is>
      </c>
      <c r="C3" s="173" t="inlineStr">
        <is>
          <t>9am-noon</t>
        </is>
      </c>
      <c r="D3" s="173" t="inlineStr">
        <is>
          <t>Noon-2pm</t>
        </is>
      </c>
      <c r="E3" s="173" t="inlineStr">
        <is>
          <t>2pm-5pm</t>
        </is>
      </c>
      <c r="F3" s="173" t="inlineStr">
        <is>
          <t>5pm-9pm</t>
        </is>
      </c>
      <c r="G3" s="174" t="inlineStr">
        <is>
          <t>9pm-close</t>
        </is>
      </c>
      <c r="H3" s="167" t="inlineStr">
        <is>
          <t>Day</t>
        </is>
      </c>
      <c r="I3" s="137" t="n"/>
      <c r="J3" s="151" t="inlineStr">
        <is>
          <t>not buy</t>
        </is>
      </c>
      <c r="K3" s="248" t="inlineStr">
        <is>
          <t>6am-9am</t>
        </is>
      </c>
      <c r="L3" s="248" t="inlineStr">
        <is>
          <t>9am-noon</t>
        </is>
      </c>
      <c r="M3" s="248" t="inlineStr">
        <is>
          <t>Noon-2pm</t>
        </is>
      </c>
      <c r="N3" s="248" t="inlineStr">
        <is>
          <t>2pm-5pm</t>
        </is>
      </c>
      <c r="O3" s="248" t="inlineStr">
        <is>
          <t>5pm-9pm</t>
        </is>
      </c>
      <c r="P3" s="249" t="inlineStr">
        <is>
          <t>9pm-close</t>
        </is>
      </c>
      <c r="Q3" s="178" t="inlineStr">
        <is>
          <t>Day</t>
        </is>
      </c>
      <c r="R3" s="181" t="n"/>
      <c r="S3" s="294" t="n"/>
      <c r="T3" s="291" t="n"/>
      <c r="U3" s="132" t="inlineStr">
        <is>
          <t>6am-9am</t>
        </is>
      </c>
      <c r="V3" s="132" t="inlineStr">
        <is>
          <t>9am-noon</t>
        </is>
      </c>
      <c r="W3" s="132" t="inlineStr">
        <is>
          <t>Noon-2pm</t>
        </is>
      </c>
      <c r="X3" s="132" t="inlineStr">
        <is>
          <t>2pm-5pm</t>
        </is>
      </c>
      <c r="Y3" s="132" t="inlineStr">
        <is>
          <t>5pm-9pm</t>
        </is>
      </c>
      <c r="Z3" s="132" t="inlineStr">
        <is>
          <t>9pm-close</t>
        </is>
      </c>
    </row>
    <row r="4" ht="21" customHeight="1">
      <c r="A4" s="176" t="n">
        <v>2</v>
      </c>
      <c r="B4" s="107" t="n">
        <v>25</v>
      </c>
      <c r="C4" s="107" t="n">
        <v>25</v>
      </c>
      <c r="D4" s="107" t="n">
        <v>25</v>
      </c>
      <c r="E4" s="107" t="n">
        <v>25</v>
      </c>
      <c r="F4" s="107" t="n">
        <v>75</v>
      </c>
      <c r="G4" s="108" t="n">
        <v>75</v>
      </c>
      <c r="H4" s="168">
        <f>MAX(B4:G4)</f>
        <v/>
      </c>
      <c r="J4" s="154" t="n">
        <v>0</v>
      </c>
      <c r="K4" s="115">
        <f>B4-$K$1</f>
        <v/>
      </c>
      <c r="L4" s="115">
        <f>C4-$K$1</f>
        <v/>
      </c>
      <c r="M4" s="115">
        <f>D4-$K$1</f>
        <v/>
      </c>
      <c r="N4" s="115">
        <f>E4-$K$1</f>
        <v/>
      </c>
      <c r="O4" s="115">
        <f>F4-$K$1</f>
        <v/>
      </c>
      <c r="P4" s="155">
        <f>G4-$K$1</f>
        <v/>
      </c>
      <c r="Q4" s="179">
        <f>MAX(J4:P4)</f>
        <v/>
      </c>
      <c r="R4" s="160">
        <f>IF(MAX(K4:P4)&gt;=0,1,0)</f>
        <v/>
      </c>
      <c r="S4" s="117">
        <f>IF(R4=1,COUNTIF(K4:P4,Q4),0)</f>
        <v/>
      </c>
      <c r="U4" s="116">
        <f>IF(AND(R4=1,K4=Q4),1/S4,0)</f>
        <v/>
      </c>
      <c r="V4" s="116">
        <f>IF(AND(R4=1,L4=Q4),1/S4,0)</f>
        <v/>
      </c>
      <c r="W4" s="116">
        <f>IF(AND(R4=1,M4=Q4),1/S4,0)</f>
        <v/>
      </c>
      <c r="X4" s="116">
        <f>IF(AND(R4=1,N4=Q4),1/S4,0)</f>
        <v/>
      </c>
      <c r="Y4" s="116">
        <f>IF(AND(R4=1,O4=Q4),1/S4,0)</f>
        <v/>
      </c>
      <c r="Z4" s="116">
        <f>IF(AND(R4=1,P4=Q4),1/S4,0)</f>
        <v/>
      </c>
      <c r="AA4" s="185" t="n"/>
      <c r="AB4" s="185" t="n"/>
    </row>
    <row r="5" ht="21" customHeight="1">
      <c r="A5" s="176" t="n">
        <v>3</v>
      </c>
      <c r="B5" s="107" t="n">
        <v>25</v>
      </c>
      <c r="C5" s="107" t="n">
        <v>25</v>
      </c>
      <c r="D5" s="107" t="n">
        <v>25</v>
      </c>
      <c r="E5" s="107" t="n">
        <v>25</v>
      </c>
      <c r="F5" s="107" t="n">
        <v>50</v>
      </c>
      <c r="G5" s="108" t="n">
        <v>50</v>
      </c>
      <c r="H5" s="168">
        <f>MAX(B5:G5)</f>
        <v/>
      </c>
      <c r="J5" s="154" t="n">
        <v>0</v>
      </c>
      <c r="K5" s="115">
        <f>B5-$K$1</f>
        <v/>
      </c>
      <c r="L5" s="115">
        <f>C5-$K$1</f>
        <v/>
      </c>
      <c r="M5" s="115">
        <f>D5-$K$1</f>
        <v/>
      </c>
      <c r="N5" s="115">
        <f>E5-$K$1</f>
        <v/>
      </c>
      <c r="O5" s="115">
        <f>F5-$K$1</f>
        <v/>
      </c>
      <c r="P5" s="155">
        <f>G5-$K$1</f>
        <v/>
      </c>
      <c r="Q5" s="179">
        <f>MAX(J5:P5)</f>
        <v/>
      </c>
      <c r="R5" s="160">
        <f>IF(MAX(K5:P5)&gt;=0,1,0)</f>
        <v/>
      </c>
      <c r="S5" s="117">
        <f>IF(R5=1,COUNTIF(K5:P5,Q5),0)</f>
        <v/>
      </c>
      <c r="U5" s="116">
        <f>IF(AND(R5=1,K5=Q5),1/S5,0)</f>
        <v/>
      </c>
      <c r="V5" s="116">
        <f>IF(AND(R5=1,L5=Q5),1/S5,0)</f>
        <v/>
      </c>
      <c r="W5" s="116">
        <f>IF(AND(R5=1,M5=Q5),1/S5,0)</f>
        <v/>
      </c>
      <c r="X5" s="116">
        <f>IF(AND(R5=1,N5=Q5),1/S5,0)</f>
        <v/>
      </c>
      <c r="Y5" s="116">
        <f>IF(AND(R5=1,O5=Q5),1/S5,0)</f>
        <v/>
      </c>
      <c r="Z5" s="116">
        <f>IF(AND(R5=1,P5=Q5),1/S5,0)</f>
        <v/>
      </c>
      <c r="AA5" s="185" t="n"/>
      <c r="AB5" s="185" t="n"/>
    </row>
    <row r="6" ht="21" customHeight="1">
      <c r="A6" s="176" t="n">
        <v>5</v>
      </c>
      <c r="B6" s="107" t="n">
        <v>75</v>
      </c>
      <c r="C6" s="107" t="n">
        <v>75</v>
      </c>
      <c r="D6" s="107" t="n">
        <v>75</v>
      </c>
      <c r="E6" s="107" t="n">
        <v>75</v>
      </c>
      <c r="F6" s="107" t="n">
        <v>75</v>
      </c>
      <c r="G6" s="108" t="n">
        <v>75</v>
      </c>
      <c r="H6" s="168">
        <f>MAX(B6:G6)</f>
        <v/>
      </c>
      <c r="J6" s="154" t="n">
        <v>0</v>
      </c>
      <c r="K6" s="115">
        <f>B6-$K$1</f>
        <v/>
      </c>
      <c r="L6" s="115">
        <f>C6-$K$1</f>
        <v/>
      </c>
      <c r="M6" s="115">
        <f>D6-$K$1</f>
        <v/>
      </c>
      <c r="N6" s="115">
        <f>E6-$K$1</f>
        <v/>
      </c>
      <c r="O6" s="115">
        <f>F6-$K$1</f>
        <v/>
      </c>
      <c r="P6" s="155">
        <f>G6-$K$1</f>
        <v/>
      </c>
      <c r="Q6" s="179">
        <f>MAX(J6:P6)</f>
        <v/>
      </c>
      <c r="R6" s="160">
        <f>IF(MAX(K6:P6)&gt;=0,1,0)</f>
        <v/>
      </c>
      <c r="S6" s="117">
        <f>IF(R6=1,COUNTIF(K6:P6,Q6),0)</f>
        <v/>
      </c>
      <c r="U6" s="116">
        <f>IF(AND(R6=1,K6=Q6),1/S6,0)</f>
        <v/>
      </c>
      <c r="V6" s="116">
        <f>IF(AND(R6=1,L6=Q6),1/S6,0)</f>
        <v/>
      </c>
      <c r="W6" s="116">
        <f>IF(AND(R6=1,M6=Q6),1/S6,0)</f>
        <v/>
      </c>
      <c r="X6" s="116">
        <f>IF(AND(R6=1,N6=Q6),1/S6,0)</f>
        <v/>
      </c>
      <c r="Y6" s="116">
        <f>IF(AND(R6=1,O6=Q6),1/S6,0)</f>
        <v/>
      </c>
      <c r="Z6" s="116">
        <f>IF(AND(R6=1,P6=Q6),1/S6,0)</f>
        <v/>
      </c>
      <c r="AA6" s="185" t="n"/>
      <c r="AB6" s="185" t="n"/>
    </row>
    <row r="7" ht="21" customHeight="1">
      <c r="A7" s="176" t="n">
        <v>6</v>
      </c>
      <c r="B7" s="107" t="n">
        <v>25</v>
      </c>
      <c r="C7" s="107" t="n">
        <v>25</v>
      </c>
      <c r="D7" s="107" t="n">
        <v>25</v>
      </c>
      <c r="E7" s="107" t="n">
        <v>25</v>
      </c>
      <c r="F7" s="107" t="n">
        <v>75</v>
      </c>
      <c r="G7" s="108" t="n">
        <v>75</v>
      </c>
      <c r="H7" s="168">
        <f>MAX(B7:G7)</f>
        <v/>
      </c>
      <c r="J7" s="154" t="n">
        <v>0</v>
      </c>
      <c r="K7" s="115">
        <f>B7-$K$1</f>
        <v/>
      </c>
      <c r="L7" s="115">
        <f>C7-$K$1</f>
        <v/>
      </c>
      <c r="M7" s="115">
        <f>D7-$K$1</f>
        <v/>
      </c>
      <c r="N7" s="115">
        <f>E7-$K$1</f>
        <v/>
      </c>
      <c r="O7" s="115">
        <f>F7-$K$1</f>
        <v/>
      </c>
      <c r="P7" s="155">
        <f>G7-$K$1</f>
        <v/>
      </c>
      <c r="Q7" s="179">
        <f>MAX(J7:P7)</f>
        <v/>
      </c>
      <c r="R7" s="160">
        <f>IF(MAX(K7:P7)&gt;=0,1,0)</f>
        <v/>
      </c>
      <c r="S7" s="117">
        <f>IF(R7=1,COUNTIF(K7:P7,Q7),0)</f>
        <v/>
      </c>
      <c r="U7" s="116">
        <f>IF(AND(R7=1,K7=Q7),1/S7,0)</f>
        <v/>
      </c>
      <c r="V7" s="116">
        <f>IF(AND(R7=1,L7=Q7),1/S7,0)</f>
        <v/>
      </c>
      <c r="W7" s="116">
        <f>IF(AND(R7=1,M7=Q7),1/S7,0)</f>
        <v/>
      </c>
      <c r="X7" s="116">
        <f>IF(AND(R7=1,N7=Q7),1/S7,0)</f>
        <v/>
      </c>
      <c r="Y7" s="116">
        <f>IF(AND(R7=1,O7=Q7),1/S7,0)</f>
        <v/>
      </c>
      <c r="Z7" s="116">
        <f>IF(AND(R7=1,P7=Q7),1/S7,0)</f>
        <v/>
      </c>
      <c r="AA7" s="185" t="n"/>
      <c r="AB7" s="185" t="n"/>
    </row>
    <row r="8" ht="21" customHeight="1">
      <c r="A8" s="176" t="n">
        <v>9</v>
      </c>
      <c r="B8" s="107" t="n">
        <v>100</v>
      </c>
      <c r="C8" s="107" t="n">
        <v>100</v>
      </c>
      <c r="D8" s="107" t="n">
        <v>100</v>
      </c>
      <c r="E8" s="107" t="n">
        <v>100</v>
      </c>
      <c r="F8" s="107" t="n">
        <v>100</v>
      </c>
      <c r="G8" s="108" t="n">
        <v>100</v>
      </c>
      <c r="H8" s="168">
        <f>MAX(B8:G8)</f>
        <v/>
      </c>
      <c r="J8" s="154" t="n">
        <v>0</v>
      </c>
      <c r="K8" s="115">
        <f>B8-$K$1</f>
        <v/>
      </c>
      <c r="L8" s="115">
        <f>C8-$K$1</f>
        <v/>
      </c>
      <c r="M8" s="115">
        <f>D8-$K$1</f>
        <v/>
      </c>
      <c r="N8" s="115">
        <f>E8-$K$1</f>
        <v/>
      </c>
      <c r="O8" s="115">
        <f>F8-$K$1</f>
        <v/>
      </c>
      <c r="P8" s="155">
        <f>G8-$K$1</f>
        <v/>
      </c>
      <c r="Q8" s="179">
        <f>MAX(J8:P8)</f>
        <v/>
      </c>
      <c r="R8" s="160">
        <f>IF(MAX(K8:P8)&gt;=0,1,0)</f>
        <v/>
      </c>
      <c r="S8" s="117">
        <f>IF(R8=1,COUNTIF(K8:P8,Q8),0)</f>
        <v/>
      </c>
      <c r="U8" s="116">
        <f>IF(AND(R8=1,K8=Q8),1/S8,0)</f>
        <v/>
      </c>
      <c r="V8" s="116">
        <f>IF(AND(R8=1,L8=Q8),1/S8,0)</f>
        <v/>
      </c>
      <c r="W8" s="116">
        <f>IF(AND(R8=1,M8=Q8),1/S8,0)</f>
        <v/>
      </c>
      <c r="X8" s="116">
        <f>IF(AND(R8=1,N8=Q8),1/S8,0)</f>
        <v/>
      </c>
      <c r="Y8" s="116">
        <f>IF(AND(R8=1,O8=Q8),1/S8,0)</f>
        <v/>
      </c>
      <c r="Z8" s="116">
        <f>IF(AND(R8=1,P8=Q8),1/S8,0)</f>
        <v/>
      </c>
      <c r="AA8" s="185" t="n"/>
      <c r="AB8" s="185" t="n"/>
    </row>
    <row r="9" ht="21" customHeight="1">
      <c r="A9" s="176" t="n">
        <v>10</v>
      </c>
      <c r="B9" s="107" t="n">
        <v>100</v>
      </c>
      <c r="C9" s="107" t="n">
        <v>100</v>
      </c>
      <c r="D9" s="107" t="n">
        <v>100</v>
      </c>
      <c r="E9" s="107" t="n">
        <v>100</v>
      </c>
      <c r="F9" s="107" t="n">
        <v>100</v>
      </c>
      <c r="G9" s="108" t="n">
        <v>100</v>
      </c>
      <c r="H9" s="168">
        <f>MAX(B9:G9)</f>
        <v/>
      </c>
      <c r="J9" s="154" t="n">
        <v>0</v>
      </c>
      <c r="K9" s="115">
        <f>B9-$K$1</f>
        <v/>
      </c>
      <c r="L9" s="115">
        <f>C9-$K$1</f>
        <v/>
      </c>
      <c r="M9" s="115">
        <f>D9-$K$1</f>
        <v/>
      </c>
      <c r="N9" s="115">
        <f>E9-$K$1</f>
        <v/>
      </c>
      <c r="O9" s="115">
        <f>F9-$K$1</f>
        <v/>
      </c>
      <c r="P9" s="155">
        <f>G9-$K$1</f>
        <v/>
      </c>
      <c r="Q9" s="179">
        <f>MAX(J9:P9)</f>
        <v/>
      </c>
      <c r="R9" s="160">
        <f>IF(MAX(K9:P9)&gt;=0,1,0)</f>
        <v/>
      </c>
      <c r="S9" s="117">
        <f>IF(R9=1,COUNTIF(K9:P9,Q9),0)</f>
        <v/>
      </c>
      <c r="U9" s="116">
        <f>IF(AND(R9=1,K9=Q9),1/S9,0)</f>
        <v/>
      </c>
      <c r="V9" s="116">
        <f>IF(AND(R9=1,L9=Q9),1/S9,0)</f>
        <v/>
      </c>
      <c r="W9" s="116">
        <f>IF(AND(R9=1,M9=Q9),1/S9,0)</f>
        <v/>
      </c>
      <c r="X9" s="116">
        <f>IF(AND(R9=1,N9=Q9),1/S9,0)</f>
        <v/>
      </c>
      <c r="Y9" s="116">
        <f>IF(AND(R9=1,O9=Q9),1/S9,0)</f>
        <v/>
      </c>
      <c r="Z9" s="116">
        <f>IF(AND(R9=1,P9=Q9),1/S9,0)</f>
        <v/>
      </c>
      <c r="AA9" s="185" t="n"/>
      <c r="AB9" s="185" t="n"/>
    </row>
    <row r="10" ht="21" customHeight="1">
      <c r="A10" s="176" t="n">
        <v>11</v>
      </c>
      <c r="B10" s="107" t="n">
        <v>25</v>
      </c>
      <c r="C10" s="107" t="n">
        <v>25</v>
      </c>
      <c r="D10" s="107" t="n">
        <v>25</v>
      </c>
      <c r="E10" s="107" t="n">
        <v>25</v>
      </c>
      <c r="F10" s="107" t="n">
        <v>50</v>
      </c>
      <c r="G10" s="108" t="n">
        <v>25</v>
      </c>
      <c r="H10" s="168">
        <f>MAX(B10:G10)</f>
        <v/>
      </c>
      <c r="J10" s="154" t="n">
        <v>0</v>
      </c>
      <c r="K10" s="115">
        <f>B10-$K$1</f>
        <v/>
      </c>
      <c r="L10" s="115">
        <f>C10-$K$1</f>
        <v/>
      </c>
      <c r="M10" s="115">
        <f>D10-$K$1</f>
        <v/>
      </c>
      <c r="N10" s="115">
        <f>E10-$K$1</f>
        <v/>
      </c>
      <c r="O10" s="115">
        <f>F10-$K$1</f>
        <v/>
      </c>
      <c r="P10" s="155">
        <f>G10-$K$1</f>
        <v/>
      </c>
      <c r="Q10" s="179">
        <f>MAX(J10:P10)</f>
        <v/>
      </c>
      <c r="R10" s="160">
        <f>IF(MAX(K10:P10)&gt;=0,1,0)</f>
        <v/>
      </c>
      <c r="S10" s="117">
        <f>IF(R10=1,COUNTIF(K10:P10,Q10),0)</f>
        <v/>
      </c>
      <c r="U10" s="116">
        <f>IF(AND(R10=1,K10=Q10),1/S10,0)</f>
        <v/>
      </c>
      <c r="V10" s="116">
        <f>IF(AND(R10=1,L10=Q10),1/S10,0)</f>
        <v/>
      </c>
      <c r="W10" s="116">
        <f>IF(AND(R10=1,M10=Q10),1/S10,0)</f>
        <v/>
      </c>
      <c r="X10" s="116">
        <f>IF(AND(R10=1,N10=Q10),1/S10,0)</f>
        <v/>
      </c>
      <c r="Y10" s="116">
        <f>IF(AND(R10=1,O10=Q10),1/S10,0)</f>
        <v/>
      </c>
      <c r="Z10" s="116">
        <f>IF(AND(R10=1,P10=Q10),1/S10,0)</f>
        <v/>
      </c>
      <c r="AA10" s="185" t="n"/>
      <c r="AB10" s="185" t="n"/>
    </row>
    <row r="11" ht="21" customHeight="1">
      <c r="A11" s="176" t="n">
        <v>12</v>
      </c>
      <c r="B11" s="107" t="n">
        <v>50</v>
      </c>
      <c r="C11" s="107" t="n">
        <v>75</v>
      </c>
      <c r="D11" s="107" t="n">
        <v>150</v>
      </c>
      <c r="E11" s="107" t="n">
        <v>75</v>
      </c>
      <c r="F11" s="107" t="n">
        <v>150</v>
      </c>
      <c r="G11" s="108" t="n">
        <v>75</v>
      </c>
      <c r="H11" s="168">
        <f>MAX(B11:G11)</f>
        <v/>
      </c>
      <c r="J11" s="154" t="n">
        <v>0</v>
      </c>
      <c r="K11" s="115">
        <f>B11-$K$1</f>
        <v/>
      </c>
      <c r="L11" s="115">
        <f>C11-$K$1</f>
        <v/>
      </c>
      <c r="M11" s="115">
        <f>D11-$K$1</f>
        <v/>
      </c>
      <c r="N11" s="115">
        <f>E11-$K$1</f>
        <v/>
      </c>
      <c r="O11" s="115">
        <f>F11-$K$1</f>
        <v/>
      </c>
      <c r="P11" s="155">
        <f>G11-$K$1</f>
        <v/>
      </c>
      <c r="Q11" s="179">
        <f>MAX(J11:P11)</f>
        <v/>
      </c>
      <c r="R11" s="160">
        <f>IF(MAX(K11:P11)&gt;=0,1,0)</f>
        <v/>
      </c>
      <c r="S11" s="117">
        <f>IF(R11=1,COUNTIF(K11:P11,Q11),0)</f>
        <v/>
      </c>
      <c r="U11" s="116">
        <f>IF(AND(R11=1,K11=Q11),1/S11,0)</f>
        <v/>
      </c>
      <c r="V11" s="116">
        <f>IF(AND(R11=1,L11=Q11),1/S11,0)</f>
        <v/>
      </c>
      <c r="W11" s="116">
        <f>IF(AND(R11=1,M11=Q11),1/S11,0)</f>
        <v/>
      </c>
      <c r="X11" s="116">
        <f>IF(AND(R11=1,N11=Q11),1/S11,0)</f>
        <v/>
      </c>
      <c r="Y11" s="116">
        <f>IF(AND(R11=1,O11=Q11),1/S11,0)</f>
        <v/>
      </c>
      <c r="Z11" s="116">
        <f>IF(AND(R11=1,P11=Q11),1/S11,0)</f>
        <v/>
      </c>
      <c r="AA11" s="185" t="n"/>
      <c r="AB11" s="185" t="n"/>
    </row>
    <row r="12" ht="21" customHeight="1">
      <c r="A12" s="176" t="n">
        <v>13</v>
      </c>
      <c r="B12" s="107" t="n">
        <v>25</v>
      </c>
      <c r="C12" s="107" t="n">
        <v>25</v>
      </c>
      <c r="D12" s="107" t="n">
        <v>25</v>
      </c>
      <c r="E12" s="107" t="n">
        <v>25</v>
      </c>
      <c r="F12" s="107" t="n">
        <v>25</v>
      </c>
      <c r="G12" s="108" t="n">
        <v>25</v>
      </c>
      <c r="H12" s="168">
        <f>MAX(B12:G12)</f>
        <v/>
      </c>
      <c r="J12" s="154" t="n">
        <v>0</v>
      </c>
      <c r="K12" s="115">
        <f>B12-$K$1</f>
        <v/>
      </c>
      <c r="L12" s="115">
        <f>C12-$K$1</f>
        <v/>
      </c>
      <c r="M12" s="115">
        <f>D12-$K$1</f>
        <v/>
      </c>
      <c r="N12" s="115">
        <f>E12-$K$1</f>
        <v/>
      </c>
      <c r="O12" s="115">
        <f>F12-$K$1</f>
        <v/>
      </c>
      <c r="P12" s="155">
        <f>G12-$K$1</f>
        <v/>
      </c>
      <c r="Q12" s="179">
        <f>MAX(J12:P12)</f>
        <v/>
      </c>
      <c r="R12" s="160">
        <f>IF(MAX(K12:P12)&gt;=0,1,0)</f>
        <v/>
      </c>
      <c r="S12" s="117">
        <f>IF(R12=1,COUNTIF(K12:P12,Q12),0)</f>
        <v/>
      </c>
      <c r="U12" s="116">
        <f>IF(AND(R12=1,K12=Q12),1/S12,0)</f>
        <v/>
      </c>
      <c r="V12" s="116">
        <f>IF(AND(R12=1,L12=Q12),1/S12,0)</f>
        <v/>
      </c>
      <c r="W12" s="116">
        <f>IF(AND(R12=1,M12=Q12),1/S12,0)</f>
        <v/>
      </c>
      <c r="X12" s="116">
        <f>IF(AND(R12=1,N12=Q12),1/S12,0)</f>
        <v/>
      </c>
      <c r="Y12" s="116">
        <f>IF(AND(R12=1,O12=Q12),1/S12,0)</f>
        <v/>
      </c>
      <c r="Z12" s="116">
        <f>IF(AND(R12=1,P12=Q12),1/S12,0)</f>
        <v/>
      </c>
      <c r="AA12" s="185" t="n"/>
      <c r="AB12" s="185" t="n"/>
    </row>
    <row r="13" ht="21" customHeight="1">
      <c r="A13" s="176" t="n">
        <v>14</v>
      </c>
      <c r="B13" s="107" t="n">
        <v>50</v>
      </c>
      <c r="C13" s="107" t="n">
        <v>75</v>
      </c>
      <c r="D13" s="107" t="n">
        <v>100</v>
      </c>
      <c r="E13" s="107" t="n">
        <v>100</v>
      </c>
      <c r="F13" s="107" t="n">
        <v>125</v>
      </c>
      <c r="G13" s="108" t="n">
        <v>100</v>
      </c>
      <c r="H13" s="168">
        <f>MAX(B13:G13)</f>
        <v/>
      </c>
      <c r="J13" s="154" t="n">
        <v>0</v>
      </c>
      <c r="K13" s="115">
        <f>B13-$K$1</f>
        <v/>
      </c>
      <c r="L13" s="115">
        <f>C13-$K$1</f>
        <v/>
      </c>
      <c r="M13" s="115">
        <f>D13-$K$1</f>
        <v/>
      </c>
      <c r="N13" s="115">
        <f>E13-$K$1</f>
        <v/>
      </c>
      <c r="O13" s="115">
        <f>F13-$K$1</f>
        <v/>
      </c>
      <c r="P13" s="155">
        <f>G13-$K$1</f>
        <v/>
      </c>
      <c r="Q13" s="179">
        <f>MAX(J13:P13)</f>
        <v/>
      </c>
      <c r="R13" s="160">
        <f>IF(MAX(K13:P13)&gt;=0,1,0)</f>
        <v/>
      </c>
      <c r="S13" s="117">
        <f>IF(R13=1,COUNTIF(K13:P13,Q13),0)</f>
        <v/>
      </c>
      <c r="U13" s="116">
        <f>IF(AND(R13=1,K13=Q13),1/S13,0)</f>
        <v/>
      </c>
      <c r="V13" s="116">
        <f>IF(AND(R13=1,L13=Q13),1/S13,0)</f>
        <v/>
      </c>
      <c r="W13" s="116">
        <f>IF(AND(R13=1,M13=Q13),1/S13,0)</f>
        <v/>
      </c>
      <c r="X13" s="116">
        <f>IF(AND(R13=1,N13=Q13),1/S13,0)</f>
        <v/>
      </c>
      <c r="Y13" s="116">
        <f>IF(AND(R13=1,O13=Q13),1/S13,0)</f>
        <v/>
      </c>
      <c r="Z13" s="116">
        <f>IF(AND(R13=1,P13=Q13),1/S13,0)</f>
        <v/>
      </c>
      <c r="AA13" s="185" t="n"/>
      <c r="AB13" s="185" t="n"/>
    </row>
    <row r="14" ht="21" customHeight="1">
      <c r="A14" s="176" t="n">
        <v>15</v>
      </c>
      <c r="B14" s="107" t="n">
        <v>100</v>
      </c>
      <c r="C14" s="107" t="n">
        <v>125</v>
      </c>
      <c r="D14" s="107" t="n">
        <v>125</v>
      </c>
      <c r="E14" s="107" t="n">
        <v>125</v>
      </c>
      <c r="F14" s="107" t="n">
        <v>125</v>
      </c>
      <c r="G14" s="108" t="n">
        <v>100</v>
      </c>
      <c r="H14" s="168">
        <f>MAX(B14:G14)</f>
        <v/>
      </c>
      <c r="J14" s="154" t="n">
        <v>0</v>
      </c>
      <c r="K14" s="115">
        <f>B14-$K$1</f>
        <v/>
      </c>
      <c r="L14" s="115">
        <f>C14-$K$1</f>
        <v/>
      </c>
      <c r="M14" s="115">
        <f>D14-$K$1</f>
        <v/>
      </c>
      <c r="N14" s="115">
        <f>E14-$K$1</f>
        <v/>
      </c>
      <c r="O14" s="115">
        <f>F14-$K$1</f>
        <v/>
      </c>
      <c r="P14" s="155">
        <f>G14-$K$1</f>
        <v/>
      </c>
      <c r="Q14" s="179">
        <f>MAX(J14:P14)</f>
        <v/>
      </c>
      <c r="R14" s="160">
        <f>IF(MAX(K14:P14)&gt;=0,1,0)</f>
        <v/>
      </c>
      <c r="S14" s="117">
        <f>IF(R14=1,COUNTIF(K14:P14,Q14),0)</f>
        <v/>
      </c>
      <c r="U14" s="116">
        <f>IF(AND(R14=1,K14=Q14),1/S14,0)</f>
        <v/>
      </c>
      <c r="V14" s="116">
        <f>IF(AND(R14=1,L14=Q14),1/S14,0)</f>
        <v/>
      </c>
      <c r="W14" s="116">
        <f>IF(AND(R14=1,M14=Q14),1/S14,0)</f>
        <v/>
      </c>
      <c r="X14" s="116">
        <f>IF(AND(R14=1,N14=Q14),1/S14,0)</f>
        <v/>
      </c>
      <c r="Y14" s="116">
        <f>IF(AND(R14=1,O14=Q14),1/S14,0)</f>
        <v/>
      </c>
      <c r="Z14" s="116">
        <f>IF(AND(R14=1,P14=Q14),1/S14,0)</f>
        <v/>
      </c>
      <c r="AA14" s="185" t="n"/>
      <c r="AB14" s="185" t="n"/>
    </row>
    <row r="15" ht="21" customHeight="1">
      <c r="A15" s="176" t="n">
        <v>16</v>
      </c>
      <c r="B15" s="107" t="n">
        <v>25</v>
      </c>
      <c r="C15" s="107" t="n">
        <v>25</v>
      </c>
      <c r="D15" s="107" t="n">
        <v>25</v>
      </c>
      <c r="E15" s="107" t="n">
        <v>25</v>
      </c>
      <c r="F15" s="107" t="n">
        <v>25</v>
      </c>
      <c r="G15" s="108" t="n">
        <v>25</v>
      </c>
      <c r="H15" s="168">
        <f>MAX(B15:G15)</f>
        <v/>
      </c>
      <c r="J15" s="154" t="n">
        <v>0</v>
      </c>
      <c r="K15" s="115">
        <f>B15-$K$1</f>
        <v/>
      </c>
      <c r="L15" s="115">
        <f>C15-$K$1</f>
        <v/>
      </c>
      <c r="M15" s="115">
        <f>D15-$K$1</f>
        <v/>
      </c>
      <c r="N15" s="115">
        <f>E15-$K$1</f>
        <v/>
      </c>
      <c r="O15" s="115">
        <f>F15-$K$1</f>
        <v/>
      </c>
      <c r="P15" s="155">
        <f>G15-$K$1</f>
        <v/>
      </c>
      <c r="Q15" s="179">
        <f>MAX(J15:P15)</f>
        <v/>
      </c>
      <c r="R15" s="160">
        <f>IF(MAX(K15:P15)&gt;=0,1,0)</f>
        <v/>
      </c>
      <c r="S15" s="117">
        <f>IF(R15=1,COUNTIF(K15:P15,Q15),0)</f>
        <v/>
      </c>
      <c r="U15" s="116">
        <f>IF(AND(R15=1,K15=Q15),1/S15,0)</f>
        <v/>
      </c>
      <c r="V15" s="116">
        <f>IF(AND(R15=1,L15=Q15),1/S15,0)</f>
        <v/>
      </c>
      <c r="W15" s="116">
        <f>IF(AND(R15=1,M15=Q15),1/S15,0)</f>
        <v/>
      </c>
      <c r="X15" s="116">
        <f>IF(AND(R15=1,N15=Q15),1/S15,0)</f>
        <v/>
      </c>
      <c r="Y15" s="116">
        <f>IF(AND(R15=1,O15=Q15),1/S15,0)</f>
        <v/>
      </c>
      <c r="Z15" s="116">
        <f>IF(AND(R15=1,P15=Q15),1/S15,0)</f>
        <v/>
      </c>
      <c r="AA15" s="185" t="n"/>
      <c r="AB15" s="185" t="n"/>
    </row>
    <row r="16" ht="21" customHeight="1">
      <c r="A16" s="176" t="n">
        <v>17</v>
      </c>
      <c r="B16" s="107" t="n">
        <v>25</v>
      </c>
      <c r="C16" s="107" t="n">
        <v>50</v>
      </c>
      <c r="D16" s="107" t="n">
        <v>50</v>
      </c>
      <c r="E16" s="107" t="n">
        <v>50</v>
      </c>
      <c r="F16" s="107" t="n">
        <v>50</v>
      </c>
      <c r="G16" s="108" t="n">
        <v>25</v>
      </c>
      <c r="H16" s="168">
        <f>MAX(B16:G16)</f>
        <v/>
      </c>
      <c r="J16" s="154" t="n">
        <v>0</v>
      </c>
      <c r="K16" s="115">
        <f>B16-$K$1</f>
        <v/>
      </c>
      <c r="L16" s="115">
        <f>C16-$K$1</f>
        <v/>
      </c>
      <c r="M16" s="115">
        <f>D16-$K$1</f>
        <v/>
      </c>
      <c r="N16" s="115">
        <f>E16-$K$1</f>
        <v/>
      </c>
      <c r="O16" s="115">
        <f>F16-$K$1</f>
        <v/>
      </c>
      <c r="P16" s="155">
        <f>G16-$K$1</f>
        <v/>
      </c>
      <c r="Q16" s="179">
        <f>MAX(J16:P16)</f>
        <v/>
      </c>
      <c r="R16" s="160">
        <f>IF(MAX(K16:P16)&gt;=0,1,0)</f>
        <v/>
      </c>
      <c r="S16" s="117">
        <f>IF(R16=1,COUNTIF(K16:P16,Q16),0)</f>
        <v/>
      </c>
      <c r="U16" s="116">
        <f>IF(AND(R16=1,K16=Q16),1/S16,0)</f>
        <v/>
      </c>
      <c r="V16" s="116">
        <f>IF(AND(R16=1,L16=Q16),1/S16,0)</f>
        <v/>
      </c>
      <c r="W16" s="116">
        <f>IF(AND(R16=1,M16=Q16),1/S16,0)</f>
        <v/>
      </c>
      <c r="X16" s="116">
        <f>IF(AND(R16=1,N16=Q16),1/S16,0)</f>
        <v/>
      </c>
      <c r="Y16" s="116">
        <f>IF(AND(R16=1,O16=Q16),1/S16,0)</f>
        <v/>
      </c>
      <c r="Z16" s="116">
        <f>IF(AND(R16=1,P16=Q16),1/S16,0)</f>
        <v/>
      </c>
      <c r="AA16" s="185" t="n"/>
      <c r="AB16" s="185" t="n"/>
    </row>
    <row r="17" ht="21" customHeight="1">
      <c r="A17" s="176" t="n">
        <v>18</v>
      </c>
      <c r="B17" s="107" t="n">
        <v>75</v>
      </c>
      <c r="C17" s="107" t="n">
        <v>50</v>
      </c>
      <c r="D17" s="107" t="n">
        <v>50</v>
      </c>
      <c r="E17" s="107" t="n">
        <v>50</v>
      </c>
      <c r="F17" s="107" t="n">
        <v>75</v>
      </c>
      <c r="G17" s="108" t="n">
        <v>50</v>
      </c>
      <c r="H17" s="168">
        <f>MAX(B17:G17)</f>
        <v/>
      </c>
      <c r="J17" s="154" t="n">
        <v>0</v>
      </c>
      <c r="K17" s="115">
        <f>B17-$K$1</f>
        <v/>
      </c>
      <c r="L17" s="115">
        <f>C17-$K$1</f>
        <v/>
      </c>
      <c r="M17" s="115">
        <f>D17-$K$1</f>
        <v/>
      </c>
      <c r="N17" s="115">
        <f>E17-$K$1</f>
        <v/>
      </c>
      <c r="O17" s="115">
        <f>F17-$K$1</f>
        <v/>
      </c>
      <c r="P17" s="155">
        <f>G17-$K$1</f>
        <v/>
      </c>
      <c r="Q17" s="179">
        <f>MAX(J17:P17)</f>
        <v/>
      </c>
      <c r="R17" s="160">
        <f>IF(MAX(K17:P17)&gt;=0,1,0)</f>
        <v/>
      </c>
      <c r="S17" s="117">
        <f>IF(R17=1,COUNTIF(K17:P17,Q17),0)</f>
        <v/>
      </c>
      <c r="U17" s="116">
        <f>IF(AND(R17=1,K17=Q17),1/S17,0)</f>
        <v/>
      </c>
      <c r="V17" s="116">
        <f>IF(AND(R17=1,L17=Q17),1/S17,0)</f>
        <v/>
      </c>
      <c r="W17" s="116">
        <f>IF(AND(R17=1,M17=Q17),1/S17,0)</f>
        <v/>
      </c>
      <c r="X17" s="116">
        <f>IF(AND(R17=1,N17=Q17),1/S17,0)</f>
        <v/>
      </c>
      <c r="Y17" s="116">
        <f>IF(AND(R17=1,O17=Q17),1/S17,0)</f>
        <v/>
      </c>
      <c r="Z17" s="116">
        <f>IF(AND(R17=1,P17=Q17),1/S17,0)</f>
        <v/>
      </c>
      <c r="AA17" s="185" t="n"/>
      <c r="AB17" s="185" t="n"/>
    </row>
    <row r="18" ht="21" customHeight="1">
      <c r="A18" s="176" t="n">
        <v>19</v>
      </c>
      <c r="B18" s="107" t="n">
        <v>25</v>
      </c>
      <c r="C18" s="107" t="n">
        <v>75</v>
      </c>
      <c r="D18" s="107" t="n">
        <v>75</v>
      </c>
      <c r="E18" s="107" t="n">
        <v>75</v>
      </c>
      <c r="F18" s="107" t="n">
        <v>100</v>
      </c>
      <c r="G18" s="108" t="n">
        <v>100</v>
      </c>
      <c r="H18" s="168">
        <f>MAX(B18:G18)</f>
        <v/>
      </c>
      <c r="J18" s="154" t="n">
        <v>0</v>
      </c>
      <c r="K18" s="115">
        <f>B18-$K$1</f>
        <v/>
      </c>
      <c r="L18" s="115">
        <f>C18-$K$1</f>
        <v/>
      </c>
      <c r="M18" s="115">
        <f>D18-$K$1</f>
        <v/>
      </c>
      <c r="N18" s="115">
        <f>E18-$K$1</f>
        <v/>
      </c>
      <c r="O18" s="115">
        <f>F18-$K$1</f>
        <v/>
      </c>
      <c r="P18" s="155">
        <f>G18-$K$1</f>
        <v/>
      </c>
      <c r="Q18" s="179">
        <f>MAX(J18:P18)</f>
        <v/>
      </c>
      <c r="R18" s="160">
        <f>IF(MAX(K18:P18)&gt;=0,1,0)</f>
        <v/>
      </c>
      <c r="S18" s="117">
        <f>IF(R18=1,COUNTIF(K18:P18,Q18),0)</f>
        <v/>
      </c>
      <c r="U18" s="116">
        <f>IF(AND(R18=1,K18=Q18),1/S18,0)</f>
        <v/>
      </c>
      <c r="V18" s="116">
        <f>IF(AND(R18=1,L18=Q18),1/S18,0)</f>
        <v/>
      </c>
      <c r="W18" s="116">
        <f>IF(AND(R18=1,M18=Q18),1/S18,0)</f>
        <v/>
      </c>
      <c r="X18" s="116">
        <f>IF(AND(R18=1,N18=Q18),1/S18,0)</f>
        <v/>
      </c>
      <c r="Y18" s="116">
        <f>IF(AND(R18=1,O18=Q18),1/S18,0)</f>
        <v/>
      </c>
      <c r="Z18" s="116">
        <f>IF(AND(R18=1,P18=Q18),1/S18,0)</f>
        <v/>
      </c>
      <c r="AA18" s="185" t="n"/>
      <c r="AB18" s="185" t="n"/>
    </row>
    <row r="19" ht="21" customHeight="1">
      <c r="A19" s="176" t="n">
        <v>20</v>
      </c>
      <c r="B19" s="107" t="n">
        <v>25</v>
      </c>
      <c r="C19" s="107" t="n">
        <v>25</v>
      </c>
      <c r="D19" s="107" t="n">
        <v>25</v>
      </c>
      <c r="E19" s="107" t="n">
        <v>25</v>
      </c>
      <c r="F19" s="107" t="n">
        <v>50</v>
      </c>
      <c r="G19" s="108" t="n">
        <v>25</v>
      </c>
      <c r="H19" s="168">
        <f>MAX(B19:G19)</f>
        <v/>
      </c>
      <c r="J19" s="154" t="n">
        <v>0</v>
      </c>
      <c r="K19" s="115">
        <f>B19-$K$1</f>
        <v/>
      </c>
      <c r="L19" s="115">
        <f>C19-$K$1</f>
        <v/>
      </c>
      <c r="M19" s="115">
        <f>D19-$K$1</f>
        <v/>
      </c>
      <c r="N19" s="115">
        <f>E19-$K$1</f>
        <v/>
      </c>
      <c r="O19" s="115">
        <f>F19-$K$1</f>
        <v/>
      </c>
      <c r="P19" s="155">
        <f>G19-$K$1</f>
        <v/>
      </c>
      <c r="Q19" s="179">
        <f>MAX(J19:P19)</f>
        <v/>
      </c>
      <c r="R19" s="160">
        <f>IF(MAX(K19:P19)&gt;=0,1,0)</f>
        <v/>
      </c>
      <c r="S19" s="117">
        <f>IF(R19=1,COUNTIF(K19:P19,Q19),0)</f>
        <v/>
      </c>
      <c r="U19" s="116">
        <f>IF(AND(R19=1,K19=Q19),1/S19,0)</f>
        <v/>
      </c>
      <c r="V19" s="116">
        <f>IF(AND(R19=1,L19=Q19),1/S19,0)</f>
        <v/>
      </c>
      <c r="W19" s="116">
        <f>IF(AND(R19=1,M19=Q19),1/S19,0)</f>
        <v/>
      </c>
      <c r="X19" s="116">
        <f>IF(AND(R19=1,N19=Q19),1/S19,0)</f>
        <v/>
      </c>
      <c r="Y19" s="116">
        <f>IF(AND(R19=1,O19=Q19),1/S19,0)</f>
        <v/>
      </c>
      <c r="Z19" s="116">
        <f>IF(AND(R19=1,P19=Q19),1/S19,0)</f>
        <v/>
      </c>
      <c r="AA19" s="185" t="n"/>
      <c r="AB19" s="185" t="n"/>
    </row>
    <row r="20" ht="21" customHeight="1">
      <c r="A20" s="176" t="n">
        <v>21</v>
      </c>
      <c r="B20" s="107" t="n">
        <v>75</v>
      </c>
      <c r="C20" s="107" t="n">
        <v>75</v>
      </c>
      <c r="D20" s="107" t="n">
        <v>125</v>
      </c>
      <c r="E20" s="107" t="n">
        <v>125</v>
      </c>
      <c r="F20" s="107" t="n">
        <v>125</v>
      </c>
      <c r="G20" s="108" t="n">
        <v>100</v>
      </c>
      <c r="H20" s="168">
        <f>MAX(B20:G20)</f>
        <v/>
      </c>
      <c r="J20" s="154" t="n">
        <v>0</v>
      </c>
      <c r="K20" s="115">
        <f>B20-$K$1</f>
        <v/>
      </c>
      <c r="L20" s="115">
        <f>C20-$K$1</f>
        <v/>
      </c>
      <c r="M20" s="115">
        <f>D20-$K$1</f>
        <v/>
      </c>
      <c r="N20" s="115">
        <f>E20-$K$1</f>
        <v/>
      </c>
      <c r="O20" s="115">
        <f>F20-$K$1</f>
        <v/>
      </c>
      <c r="P20" s="155">
        <f>G20-$K$1</f>
        <v/>
      </c>
      <c r="Q20" s="179">
        <f>MAX(J20:P20)</f>
        <v/>
      </c>
      <c r="R20" s="160">
        <f>IF(MAX(K20:P20)&gt;=0,1,0)</f>
        <v/>
      </c>
      <c r="S20" s="117">
        <f>IF(R20=1,COUNTIF(K20:P20,Q20),0)</f>
        <v/>
      </c>
      <c r="U20" s="116">
        <f>IF(AND(R20=1,K20=Q20),1/S20,0)</f>
        <v/>
      </c>
      <c r="V20" s="116">
        <f>IF(AND(R20=1,L20=Q20),1/S20,0)</f>
        <v/>
      </c>
      <c r="W20" s="116">
        <f>IF(AND(R20=1,M20=Q20),1/S20,0)</f>
        <v/>
      </c>
      <c r="X20" s="116">
        <f>IF(AND(R20=1,N20=Q20),1/S20,0)</f>
        <v/>
      </c>
      <c r="Y20" s="116">
        <f>IF(AND(R20=1,O20=Q20),1/S20,0)</f>
        <v/>
      </c>
      <c r="Z20" s="116">
        <f>IF(AND(R20=1,P20=Q20),1/S20,0)</f>
        <v/>
      </c>
      <c r="AA20" s="185" t="n"/>
      <c r="AB20" s="185" t="n"/>
    </row>
    <row r="21" ht="21" customHeight="1">
      <c r="A21" s="176" t="n">
        <v>22</v>
      </c>
      <c r="B21" s="107" t="n">
        <v>25</v>
      </c>
      <c r="C21" s="107" t="n">
        <v>25</v>
      </c>
      <c r="D21" s="107" t="n">
        <v>25</v>
      </c>
      <c r="E21" s="107" t="n">
        <v>25</v>
      </c>
      <c r="F21" s="107" t="n">
        <v>100</v>
      </c>
      <c r="G21" s="108" t="n">
        <v>25</v>
      </c>
      <c r="H21" s="168">
        <f>MAX(B21:G21)</f>
        <v/>
      </c>
      <c r="J21" s="154" t="n">
        <v>0</v>
      </c>
      <c r="K21" s="115">
        <f>B21-$K$1</f>
        <v/>
      </c>
      <c r="L21" s="115">
        <f>C21-$K$1</f>
        <v/>
      </c>
      <c r="M21" s="115">
        <f>D21-$K$1</f>
        <v/>
      </c>
      <c r="N21" s="115">
        <f>E21-$K$1</f>
        <v/>
      </c>
      <c r="O21" s="115">
        <f>F21-$K$1</f>
        <v/>
      </c>
      <c r="P21" s="155">
        <f>G21-$K$1</f>
        <v/>
      </c>
      <c r="Q21" s="179">
        <f>MAX(J21:P21)</f>
        <v/>
      </c>
      <c r="R21" s="160">
        <f>IF(MAX(K21:P21)&gt;=0,1,0)</f>
        <v/>
      </c>
      <c r="S21" s="117">
        <f>IF(R21=1,COUNTIF(K21:P21,Q21),0)</f>
        <v/>
      </c>
      <c r="U21" s="116">
        <f>IF(AND(R21=1,K21=Q21),1/S21,0)</f>
        <v/>
      </c>
      <c r="V21" s="116">
        <f>IF(AND(R21=1,L21=Q21),1/S21,0)</f>
        <v/>
      </c>
      <c r="W21" s="116">
        <f>IF(AND(R21=1,M21=Q21),1/S21,0)</f>
        <v/>
      </c>
      <c r="X21" s="116">
        <f>IF(AND(R21=1,N21=Q21),1/S21,0)</f>
        <v/>
      </c>
      <c r="Y21" s="116">
        <f>IF(AND(R21=1,O21=Q21),1/S21,0)</f>
        <v/>
      </c>
      <c r="Z21" s="116">
        <f>IF(AND(R21=1,P21=Q21),1/S21,0)</f>
        <v/>
      </c>
      <c r="AA21" s="185" t="n"/>
      <c r="AB21" s="185" t="n"/>
    </row>
    <row r="22" ht="21" customHeight="1">
      <c r="A22" s="176" t="n">
        <v>24</v>
      </c>
      <c r="B22" s="107" t="n">
        <v>25</v>
      </c>
      <c r="C22" s="107" t="n">
        <v>25</v>
      </c>
      <c r="D22" s="107" t="n">
        <v>25</v>
      </c>
      <c r="E22" s="107" t="n">
        <v>25</v>
      </c>
      <c r="F22" s="107" t="n">
        <v>25</v>
      </c>
      <c r="G22" s="108" t="n">
        <v>25</v>
      </c>
      <c r="H22" s="168">
        <f>MAX(B22:G22)</f>
        <v/>
      </c>
      <c r="J22" s="154" t="n">
        <v>0</v>
      </c>
      <c r="K22" s="115">
        <f>B22-$K$1</f>
        <v/>
      </c>
      <c r="L22" s="115">
        <f>C22-$K$1</f>
        <v/>
      </c>
      <c r="M22" s="115">
        <f>D22-$K$1</f>
        <v/>
      </c>
      <c r="N22" s="115">
        <f>E22-$K$1</f>
        <v/>
      </c>
      <c r="O22" s="115">
        <f>F22-$K$1</f>
        <v/>
      </c>
      <c r="P22" s="155">
        <f>G22-$K$1</f>
        <v/>
      </c>
      <c r="Q22" s="179">
        <f>MAX(J22:P22)</f>
        <v/>
      </c>
      <c r="R22" s="160">
        <f>IF(MAX(K22:P22)&gt;=0,1,0)</f>
        <v/>
      </c>
      <c r="S22" s="117">
        <f>IF(R22=1,COUNTIF(K22:P22,Q22),0)</f>
        <v/>
      </c>
      <c r="U22" s="116">
        <f>IF(AND(R22=1,K22=Q22),1/S22,0)</f>
        <v/>
      </c>
      <c r="V22" s="116">
        <f>IF(AND(R22=1,L22=Q22),1/S22,0)</f>
        <v/>
      </c>
      <c r="W22" s="116">
        <f>IF(AND(R22=1,M22=Q22),1/S22,0)</f>
        <v/>
      </c>
      <c r="X22" s="116">
        <f>IF(AND(R22=1,N22=Q22),1/S22,0)</f>
        <v/>
      </c>
      <c r="Y22" s="116">
        <f>IF(AND(R22=1,O22=Q22),1/S22,0)</f>
        <v/>
      </c>
      <c r="Z22" s="116">
        <f>IF(AND(R22=1,P22=Q22),1/S22,0)</f>
        <v/>
      </c>
      <c r="AA22" s="185" t="n"/>
      <c r="AB22" s="185" t="n"/>
    </row>
    <row r="23" ht="21" customHeight="1">
      <c r="A23" s="176" t="n">
        <v>25</v>
      </c>
      <c r="B23" s="107" t="n">
        <v>75</v>
      </c>
      <c r="C23" s="107" t="n">
        <v>75</v>
      </c>
      <c r="D23" s="107" t="n">
        <v>75</v>
      </c>
      <c r="E23" s="107" t="n">
        <v>75</v>
      </c>
      <c r="F23" s="107" t="n">
        <v>75</v>
      </c>
      <c r="G23" s="108" t="n">
        <v>75</v>
      </c>
      <c r="H23" s="168">
        <f>MAX(B23:G23)</f>
        <v/>
      </c>
      <c r="J23" s="154" t="n">
        <v>0</v>
      </c>
      <c r="K23" s="115">
        <f>B23-$K$1</f>
        <v/>
      </c>
      <c r="L23" s="115">
        <f>C23-$K$1</f>
        <v/>
      </c>
      <c r="M23" s="115">
        <f>D23-$K$1</f>
        <v/>
      </c>
      <c r="N23" s="115">
        <f>E23-$K$1</f>
        <v/>
      </c>
      <c r="O23" s="115">
        <f>F23-$K$1</f>
        <v/>
      </c>
      <c r="P23" s="155">
        <f>G23-$K$1</f>
        <v/>
      </c>
      <c r="Q23" s="179">
        <f>MAX(J23:P23)</f>
        <v/>
      </c>
      <c r="R23" s="160">
        <f>IF(MAX(K23:P23)&gt;=0,1,0)</f>
        <v/>
      </c>
      <c r="S23" s="117">
        <f>IF(R23=1,COUNTIF(K23:P23,Q23),0)</f>
        <v/>
      </c>
      <c r="U23" s="116">
        <f>IF(AND(R23=1,K23=Q23),1/S23,0)</f>
        <v/>
      </c>
      <c r="V23" s="116">
        <f>IF(AND(R23=1,L23=Q23),1/S23,0)</f>
        <v/>
      </c>
      <c r="W23" s="116">
        <f>IF(AND(R23=1,M23=Q23),1/S23,0)</f>
        <v/>
      </c>
      <c r="X23" s="116">
        <f>IF(AND(R23=1,N23=Q23),1/S23,0)</f>
        <v/>
      </c>
      <c r="Y23" s="116">
        <f>IF(AND(R23=1,O23=Q23),1/S23,0)</f>
        <v/>
      </c>
      <c r="Z23" s="116">
        <f>IF(AND(R23=1,P23=Q23),1/S23,0)</f>
        <v/>
      </c>
      <c r="AA23" s="185" t="n"/>
      <c r="AB23" s="185" t="n"/>
    </row>
    <row r="24" ht="21" customHeight="1">
      <c r="A24" s="176" t="n">
        <v>27</v>
      </c>
      <c r="B24" s="107" t="n">
        <v>100</v>
      </c>
      <c r="C24" s="107" t="n">
        <v>100</v>
      </c>
      <c r="D24" s="107" t="n">
        <v>100</v>
      </c>
      <c r="E24" s="107" t="n">
        <v>100</v>
      </c>
      <c r="F24" s="107" t="n">
        <v>100</v>
      </c>
      <c r="G24" s="108" t="n">
        <v>100</v>
      </c>
      <c r="H24" s="168">
        <f>MAX(B24:G24)</f>
        <v/>
      </c>
      <c r="J24" s="154" t="n">
        <v>0</v>
      </c>
      <c r="K24" s="115">
        <f>B24-$K$1</f>
        <v/>
      </c>
      <c r="L24" s="115">
        <f>C24-$K$1</f>
        <v/>
      </c>
      <c r="M24" s="115">
        <f>D24-$K$1</f>
        <v/>
      </c>
      <c r="N24" s="115">
        <f>E24-$K$1</f>
        <v/>
      </c>
      <c r="O24" s="115">
        <f>F24-$K$1</f>
        <v/>
      </c>
      <c r="P24" s="155">
        <f>G24-$K$1</f>
        <v/>
      </c>
      <c r="Q24" s="179">
        <f>MAX(J24:P24)</f>
        <v/>
      </c>
      <c r="R24" s="160">
        <f>IF(MAX(K24:P24)&gt;=0,1,0)</f>
        <v/>
      </c>
      <c r="S24" s="117">
        <f>IF(R24=1,COUNTIF(K24:P24,Q24),0)</f>
        <v/>
      </c>
      <c r="U24" s="116">
        <f>IF(AND(R24=1,K24=Q24),1/S24,0)</f>
        <v/>
      </c>
      <c r="V24" s="116">
        <f>IF(AND(R24=1,L24=Q24),1/S24,0)</f>
        <v/>
      </c>
      <c r="W24" s="116">
        <f>IF(AND(R24=1,M24=Q24),1/S24,0)</f>
        <v/>
      </c>
      <c r="X24" s="116">
        <f>IF(AND(R24=1,N24=Q24),1/S24,0)</f>
        <v/>
      </c>
      <c r="Y24" s="116">
        <f>IF(AND(R24=1,O24=Q24),1/S24,0)</f>
        <v/>
      </c>
      <c r="Z24" s="116">
        <f>IF(AND(R24=1,P24=Q24),1/S24,0)</f>
        <v/>
      </c>
      <c r="AA24" s="185" t="n"/>
      <c r="AB24" s="185" t="n"/>
    </row>
    <row r="25" ht="21" customHeight="1">
      <c r="A25" s="176" t="n">
        <v>31</v>
      </c>
      <c r="B25" s="107" t="n">
        <v>50</v>
      </c>
      <c r="C25" s="107" t="n">
        <v>50</v>
      </c>
      <c r="D25" s="107" t="n">
        <v>50</v>
      </c>
      <c r="E25" s="107" t="n">
        <v>50</v>
      </c>
      <c r="F25" s="107" t="n">
        <v>50</v>
      </c>
      <c r="G25" s="108" t="n">
        <v>50</v>
      </c>
      <c r="H25" s="168">
        <f>MAX(B25:G25)</f>
        <v/>
      </c>
      <c r="J25" s="154" t="n">
        <v>0</v>
      </c>
      <c r="K25" s="115">
        <f>B25-$K$1</f>
        <v/>
      </c>
      <c r="L25" s="115">
        <f>C25-$K$1</f>
        <v/>
      </c>
      <c r="M25" s="115">
        <f>D25-$K$1</f>
        <v/>
      </c>
      <c r="N25" s="115">
        <f>E25-$K$1</f>
        <v/>
      </c>
      <c r="O25" s="115">
        <f>F25-$K$1</f>
        <v/>
      </c>
      <c r="P25" s="155">
        <f>G25-$K$1</f>
        <v/>
      </c>
      <c r="Q25" s="179">
        <f>MAX(J25:P25)</f>
        <v/>
      </c>
      <c r="R25" s="160">
        <f>IF(MAX(K25:P25)&gt;=0,1,0)</f>
        <v/>
      </c>
      <c r="S25" s="117">
        <f>IF(R25=1,COUNTIF(K25:P25,Q25),0)</f>
        <v/>
      </c>
      <c r="U25" s="116">
        <f>IF(AND(R25=1,K25=Q25),1/S25,0)</f>
        <v/>
      </c>
      <c r="V25" s="116">
        <f>IF(AND(R25=1,L25=Q25),1/S25,0)</f>
        <v/>
      </c>
      <c r="W25" s="116">
        <f>IF(AND(R25=1,M25=Q25),1/S25,0)</f>
        <v/>
      </c>
      <c r="X25" s="116">
        <f>IF(AND(R25=1,N25=Q25),1/S25,0)</f>
        <v/>
      </c>
      <c r="Y25" s="116">
        <f>IF(AND(R25=1,O25=Q25),1/S25,0)</f>
        <v/>
      </c>
      <c r="Z25" s="116">
        <f>IF(AND(R25=1,P25=Q25),1/S25,0)</f>
        <v/>
      </c>
      <c r="AA25" s="185" t="n"/>
      <c r="AB25" s="185" t="n"/>
    </row>
    <row r="26" ht="21" customHeight="1">
      <c r="A26" s="176" t="n">
        <v>32</v>
      </c>
      <c r="B26" s="107" t="n">
        <v>50</v>
      </c>
      <c r="C26" s="107" t="n">
        <v>50</v>
      </c>
      <c r="D26" s="107" t="n">
        <v>50</v>
      </c>
      <c r="E26" s="107" t="n">
        <v>50</v>
      </c>
      <c r="F26" s="107" t="n">
        <v>75</v>
      </c>
      <c r="G26" s="108" t="n">
        <v>50</v>
      </c>
      <c r="H26" s="168">
        <f>MAX(B26:G26)</f>
        <v/>
      </c>
      <c r="J26" s="154" t="n">
        <v>0</v>
      </c>
      <c r="K26" s="115">
        <f>B26-$K$1</f>
        <v/>
      </c>
      <c r="L26" s="115">
        <f>C26-$K$1</f>
        <v/>
      </c>
      <c r="M26" s="115">
        <f>D26-$K$1</f>
        <v/>
      </c>
      <c r="N26" s="115">
        <f>E26-$K$1</f>
        <v/>
      </c>
      <c r="O26" s="115">
        <f>F26-$K$1</f>
        <v/>
      </c>
      <c r="P26" s="155">
        <f>G26-$K$1</f>
        <v/>
      </c>
      <c r="Q26" s="179">
        <f>MAX(J26:P26)</f>
        <v/>
      </c>
      <c r="R26" s="160">
        <f>IF(MAX(K26:P26)&gt;=0,1,0)</f>
        <v/>
      </c>
      <c r="S26" s="117">
        <f>IF(R26=1,COUNTIF(K26:P26,Q26),0)</f>
        <v/>
      </c>
      <c r="U26" s="116">
        <f>IF(AND(R26=1,K26=Q26),1/S26,0)</f>
        <v/>
      </c>
      <c r="V26" s="116">
        <f>IF(AND(R26=1,L26=Q26),1/S26,0)</f>
        <v/>
      </c>
      <c r="W26" s="116">
        <f>IF(AND(R26=1,M26=Q26),1/S26,0)</f>
        <v/>
      </c>
      <c r="X26" s="116">
        <f>IF(AND(R26=1,N26=Q26),1/S26,0)</f>
        <v/>
      </c>
      <c r="Y26" s="116">
        <f>IF(AND(R26=1,O26=Q26),1/S26,0)</f>
        <v/>
      </c>
      <c r="Z26" s="116">
        <f>IF(AND(R26=1,P26=Q26),1/S26,0)</f>
        <v/>
      </c>
      <c r="AA26" s="185" t="n"/>
      <c r="AB26" s="185" t="n"/>
    </row>
    <row r="27" ht="21" customHeight="1">
      <c r="A27" s="176" t="n">
        <v>33</v>
      </c>
      <c r="B27" s="107" t="n">
        <v>50</v>
      </c>
      <c r="C27" s="107" t="n">
        <v>25</v>
      </c>
      <c r="D27" s="107" t="n">
        <v>25</v>
      </c>
      <c r="E27" s="107" t="n">
        <v>25</v>
      </c>
      <c r="F27" s="107" t="n">
        <v>50</v>
      </c>
      <c r="G27" s="108" t="n">
        <v>25</v>
      </c>
      <c r="H27" s="168">
        <f>MAX(B27:G27)</f>
        <v/>
      </c>
      <c r="J27" s="154" t="n">
        <v>0</v>
      </c>
      <c r="K27" s="115">
        <f>B27-$K$1</f>
        <v/>
      </c>
      <c r="L27" s="115">
        <f>C27-$K$1</f>
        <v/>
      </c>
      <c r="M27" s="115">
        <f>D27-$K$1</f>
        <v/>
      </c>
      <c r="N27" s="115">
        <f>E27-$K$1</f>
        <v/>
      </c>
      <c r="O27" s="115">
        <f>F27-$K$1</f>
        <v/>
      </c>
      <c r="P27" s="155">
        <f>G27-$K$1</f>
        <v/>
      </c>
      <c r="Q27" s="179">
        <f>MAX(J27:P27)</f>
        <v/>
      </c>
      <c r="R27" s="160">
        <f>IF(MAX(K27:P27)&gt;=0,1,0)</f>
        <v/>
      </c>
      <c r="S27" s="117">
        <f>IF(R27=1,COUNTIF(K27:P27,Q27),0)</f>
        <v/>
      </c>
      <c r="U27" s="116">
        <f>IF(AND(R27=1,K27=Q27),1/S27,0)</f>
        <v/>
      </c>
      <c r="V27" s="116">
        <f>IF(AND(R27=1,L27=Q27),1/S27,0)</f>
        <v/>
      </c>
      <c r="W27" s="116">
        <f>IF(AND(R27=1,M27=Q27),1/S27,0)</f>
        <v/>
      </c>
      <c r="X27" s="116">
        <f>IF(AND(R27=1,N27=Q27),1/S27,0)</f>
        <v/>
      </c>
      <c r="Y27" s="116">
        <f>IF(AND(R27=1,O27=Q27),1/S27,0)</f>
        <v/>
      </c>
      <c r="Z27" s="116">
        <f>IF(AND(R27=1,P27=Q27),1/S27,0)</f>
        <v/>
      </c>
      <c r="AA27" s="185" t="n"/>
      <c r="AB27" s="185" t="n"/>
    </row>
    <row r="28" ht="21" customHeight="1">
      <c r="A28" s="176" t="n">
        <v>34</v>
      </c>
      <c r="B28" s="107" t="n">
        <v>25</v>
      </c>
      <c r="C28" s="107" t="n">
        <v>25</v>
      </c>
      <c r="D28" s="107" t="n">
        <v>25</v>
      </c>
      <c r="E28" s="107" t="n">
        <v>75</v>
      </c>
      <c r="F28" s="107" t="n">
        <v>25</v>
      </c>
      <c r="G28" s="108" t="n">
        <v>25</v>
      </c>
      <c r="H28" s="168">
        <f>MAX(B28:G28)</f>
        <v/>
      </c>
      <c r="J28" s="154" t="n">
        <v>0</v>
      </c>
      <c r="K28" s="115">
        <f>B28-$K$1</f>
        <v/>
      </c>
      <c r="L28" s="115">
        <f>C28-$K$1</f>
        <v/>
      </c>
      <c r="M28" s="115">
        <f>D28-$K$1</f>
        <v/>
      </c>
      <c r="N28" s="115">
        <f>E28-$K$1</f>
        <v/>
      </c>
      <c r="O28" s="115">
        <f>F28-$K$1</f>
        <v/>
      </c>
      <c r="P28" s="155">
        <f>G28-$K$1</f>
        <v/>
      </c>
      <c r="Q28" s="179">
        <f>MAX(J28:P28)</f>
        <v/>
      </c>
      <c r="R28" s="160">
        <f>IF(MAX(K28:P28)&gt;=0,1,0)</f>
        <v/>
      </c>
      <c r="S28" s="117">
        <f>IF(R28=1,COUNTIF(K28:P28,Q28),0)</f>
        <v/>
      </c>
      <c r="U28" s="116">
        <f>IF(AND(R28=1,K28=Q28),1/S28,0)</f>
        <v/>
      </c>
      <c r="V28" s="116">
        <f>IF(AND(R28=1,L28=Q28),1/S28,0)</f>
        <v/>
      </c>
      <c r="W28" s="116">
        <f>IF(AND(R28=1,M28=Q28),1/S28,0)</f>
        <v/>
      </c>
      <c r="X28" s="116">
        <f>IF(AND(R28=1,N28=Q28),1/S28,0)</f>
        <v/>
      </c>
      <c r="Y28" s="116">
        <f>IF(AND(R28=1,O28=Q28),1/S28,0)</f>
        <v/>
      </c>
      <c r="Z28" s="116">
        <f>IF(AND(R28=1,P28=Q28),1/S28,0)</f>
        <v/>
      </c>
      <c r="AA28" s="185" t="n"/>
      <c r="AB28" s="185" t="n"/>
    </row>
    <row r="29" ht="21" customHeight="1">
      <c r="A29" s="176" t="n">
        <v>37</v>
      </c>
      <c r="B29" s="107" t="n">
        <v>50</v>
      </c>
      <c r="C29" s="107" t="n">
        <v>50</v>
      </c>
      <c r="D29" s="107" t="n">
        <v>50</v>
      </c>
      <c r="E29" s="107" t="n">
        <v>50</v>
      </c>
      <c r="F29" s="107" t="n">
        <v>50</v>
      </c>
      <c r="G29" s="108" t="n">
        <v>50</v>
      </c>
      <c r="H29" s="168">
        <f>MAX(B29:G29)</f>
        <v/>
      </c>
      <c r="J29" s="154" t="n">
        <v>0</v>
      </c>
      <c r="K29" s="115">
        <f>B29-$K$1</f>
        <v/>
      </c>
      <c r="L29" s="115">
        <f>C29-$K$1</f>
        <v/>
      </c>
      <c r="M29" s="115">
        <f>D29-$K$1</f>
        <v/>
      </c>
      <c r="N29" s="115">
        <f>E29-$K$1</f>
        <v/>
      </c>
      <c r="O29" s="115">
        <f>F29-$K$1</f>
        <v/>
      </c>
      <c r="P29" s="155">
        <f>G29-$K$1</f>
        <v/>
      </c>
      <c r="Q29" s="179">
        <f>MAX(J29:P29)</f>
        <v/>
      </c>
      <c r="R29" s="160">
        <f>IF(MAX(K29:P29)&gt;=0,1,0)</f>
        <v/>
      </c>
      <c r="S29" s="117">
        <f>IF(R29=1,COUNTIF(K29:P29,Q29),0)</f>
        <v/>
      </c>
      <c r="U29" s="116">
        <f>IF(AND(R29=1,K29=Q29),1/S29,0)</f>
        <v/>
      </c>
      <c r="V29" s="116">
        <f>IF(AND(R29=1,L29=Q29),1/S29,0)</f>
        <v/>
      </c>
      <c r="W29" s="116">
        <f>IF(AND(R29=1,M29=Q29),1/S29,0)</f>
        <v/>
      </c>
      <c r="X29" s="116">
        <f>IF(AND(R29=1,N29=Q29),1/S29,0)</f>
        <v/>
      </c>
      <c r="Y29" s="116">
        <f>IF(AND(R29=1,O29=Q29),1/S29,0)</f>
        <v/>
      </c>
      <c r="Z29" s="116">
        <f>IF(AND(R29=1,P29=Q29),1/S29,0)</f>
        <v/>
      </c>
      <c r="AA29" s="185" t="n"/>
      <c r="AB29" s="185" t="n"/>
    </row>
    <row r="30" ht="21" customHeight="1">
      <c r="A30" s="176" t="n">
        <v>39</v>
      </c>
      <c r="B30" s="107" t="n">
        <v>100</v>
      </c>
      <c r="C30" s="107" t="n">
        <v>50</v>
      </c>
      <c r="D30" s="107" t="n">
        <v>50</v>
      </c>
      <c r="E30" s="107" t="n">
        <v>50</v>
      </c>
      <c r="F30" s="107" t="n">
        <v>100</v>
      </c>
      <c r="G30" s="108" t="n">
        <v>50</v>
      </c>
      <c r="H30" s="168">
        <f>MAX(B30:G30)</f>
        <v/>
      </c>
      <c r="J30" s="154" t="n">
        <v>0</v>
      </c>
      <c r="K30" s="115">
        <f>B30-$K$1</f>
        <v/>
      </c>
      <c r="L30" s="115">
        <f>C30-$K$1</f>
        <v/>
      </c>
      <c r="M30" s="115">
        <f>D30-$K$1</f>
        <v/>
      </c>
      <c r="N30" s="115">
        <f>E30-$K$1</f>
        <v/>
      </c>
      <c r="O30" s="115">
        <f>F30-$K$1</f>
        <v/>
      </c>
      <c r="P30" s="155">
        <f>G30-$K$1</f>
        <v/>
      </c>
      <c r="Q30" s="179">
        <f>MAX(J30:P30)</f>
        <v/>
      </c>
      <c r="R30" s="160">
        <f>IF(MAX(K30:P30)&gt;=0,1,0)</f>
        <v/>
      </c>
      <c r="S30" s="117">
        <f>IF(R30=1,COUNTIF(K30:P30,Q30),0)</f>
        <v/>
      </c>
      <c r="U30" s="116">
        <f>IF(AND(R30=1,K30=Q30),1/S30,0)</f>
        <v/>
      </c>
      <c r="V30" s="116">
        <f>IF(AND(R30=1,L30=Q30),1/S30,0)</f>
        <v/>
      </c>
      <c r="W30" s="116">
        <f>IF(AND(R30=1,M30=Q30),1/S30,0)</f>
        <v/>
      </c>
      <c r="X30" s="116">
        <f>IF(AND(R30=1,N30=Q30),1/S30,0)</f>
        <v/>
      </c>
      <c r="Y30" s="116">
        <f>IF(AND(R30=1,O30=Q30),1/S30,0)</f>
        <v/>
      </c>
      <c r="Z30" s="116">
        <f>IF(AND(R30=1,P30=Q30),1/S30,0)</f>
        <v/>
      </c>
      <c r="AA30" s="185" t="n"/>
      <c r="AB30" s="185" t="n"/>
    </row>
    <row r="31" ht="21" customHeight="1">
      <c r="A31" s="176" t="n">
        <v>42</v>
      </c>
      <c r="B31" s="107" t="n">
        <v>75</v>
      </c>
      <c r="C31" s="107" t="n">
        <v>25</v>
      </c>
      <c r="D31" s="107" t="n">
        <v>25</v>
      </c>
      <c r="E31" s="107" t="n">
        <v>25</v>
      </c>
      <c r="F31" s="107" t="n">
        <v>75</v>
      </c>
      <c r="G31" s="108" t="n">
        <v>25</v>
      </c>
      <c r="H31" s="168">
        <f>MAX(B31:G31)</f>
        <v/>
      </c>
      <c r="J31" s="154" t="n">
        <v>0</v>
      </c>
      <c r="K31" s="115">
        <f>B31-$K$1</f>
        <v/>
      </c>
      <c r="L31" s="115">
        <f>C31-$K$1</f>
        <v/>
      </c>
      <c r="M31" s="115">
        <f>D31-$K$1</f>
        <v/>
      </c>
      <c r="N31" s="115">
        <f>E31-$K$1</f>
        <v/>
      </c>
      <c r="O31" s="115">
        <f>F31-$K$1</f>
        <v/>
      </c>
      <c r="P31" s="155">
        <f>G31-$K$1</f>
        <v/>
      </c>
      <c r="Q31" s="179">
        <f>MAX(J31:P31)</f>
        <v/>
      </c>
      <c r="R31" s="160">
        <f>IF(MAX(K31:P31)&gt;=0,1,0)</f>
        <v/>
      </c>
      <c r="S31" s="117">
        <f>IF(R31=1,COUNTIF(K31:P31,Q31),0)</f>
        <v/>
      </c>
      <c r="U31" s="116">
        <f>IF(AND(R31=1,K31=Q31),1/S31,0)</f>
        <v/>
      </c>
      <c r="V31" s="116">
        <f>IF(AND(R31=1,L31=Q31),1/S31,0)</f>
        <v/>
      </c>
      <c r="W31" s="116">
        <f>IF(AND(R31=1,M31=Q31),1/S31,0)</f>
        <v/>
      </c>
      <c r="X31" s="116">
        <f>IF(AND(R31=1,N31=Q31),1/S31,0)</f>
        <v/>
      </c>
      <c r="Y31" s="116">
        <f>IF(AND(R31=1,O31=Q31),1/S31,0)</f>
        <v/>
      </c>
      <c r="Z31" s="116">
        <f>IF(AND(R31=1,P31=Q31),1/S31,0)</f>
        <v/>
      </c>
      <c r="AA31" s="185" t="n"/>
      <c r="AB31" s="185" t="n"/>
    </row>
    <row r="32" ht="21" customHeight="1">
      <c r="A32" s="176" t="n">
        <v>43</v>
      </c>
      <c r="B32" s="107" t="n">
        <v>100</v>
      </c>
      <c r="C32" s="107" t="n">
        <v>75</v>
      </c>
      <c r="D32" s="107" t="n">
        <v>75</v>
      </c>
      <c r="E32" s="107" t="n">
        <v>75</v>
      </c>
      <c r="F32" s="107" t="n">
        <v>100</v>
      </c>
      <c r="G32" s="108" t="n">
        <v>100</v>
      </c>
      <c r="H32" s="168">
        <f>MAX(B32:G32)</f>
        <v/>
      </c>
      <c r="J32" s="154" t="n">
        <v>0</v>
      </c>
      <c r="K32" s="115">
        <f>B32-$K$1</f>
        <v/>
      </c>
      <c r="L32" s="115">
        <f>C32-$K$1</f>
        <v/>
      </c>
      <c r="M32" s="115">
        <f>D32-$K$1</f>
        <v/>
      </c>
      <c r="N32" s="115">
        <f>E32-$K$1</f>
        <v/>
      </c>
      <c r="O32" s="115">
        <f>F32-$K$1</f>
        <v/>
      </c>
      <c r="P32" s="155">
        <f>G32-$K$1</f>
        <v/>
      </c>
      <c r="Q32" s="179">
        <f>MAX(J32:P32)</f>
        <v/>
      </c>
      <c r="R32" s="160">
        <f>IF(MAX(K32:P32)&gt;=0,1,0)</f>
        <v/>
      </c>
      <c r="S32" s="117">
        <f>IF(R32=1,COUNTIF(K32:P32,Q32),0)</f>
        <v/>
      </c>
      <c r="U32" s="116">
        <f>IF(AND(R32=1,K32=Q32),1/S32,0)</f>
        <v/>
      </c>
      <c r="V32" s="116">
        <f>IF(AND(R32=1,L32=Q32),1/S32,0)</f>
        <v/>
      </c>
      <c r="W32" s="116">
        <f>IF(AND(R32=1,M32=Q32),1/S32,0)</f>
        <v/>
      </c>
      <c r="X32" s="116">
        <f>IF(AND(R32=1,N32=Q32),1/S32,0)</f>
        <v/>
      </c>
      <c r="Y32" s="116">
        <f>IF(AND(R32=1,O32=Q32),1/S32,0)</f>
        <v/>
      </c>
      <c r="Z32" s="116">
        <f>IF(AND(R32=1,P32=Q32),1/S32,0)</f>
        <v/>
      </c>
      <c r="AA32" s="185" t="n"/>
      <c r="AB32" s="185" t="n"/>
    </row>
    <row r="33" ht="21" customHeight="1">
      <c r="A33" s="176" t="n">
        <v>45</v>
      </c>
      <c r="B33" s="107" t="n">
        <v>75</v>
      </c>
      <c r="C33" s="107" t="n">
        <v>75</v>
      </c>
      <c r="D33" s="107" t="n">
        <v>75</v>
      </c>
      <c r="E33" s="107" t="n">
        <v>75</v>
      </c>
      <c r="F33" s="107" t="n">
        <v>75</v>
      </c>
      <c r="G33" s="108" t="n">
        <v>75</v>
      </c>
      <c r="H33" s="168">
        <f>MAX(B33:G33)</f>
        <v/>
      </c>
      <c r="J33" s="154" t="n">
        <v>0</v>
      </c>
      <c r="K33" s="115">
        <f>B33-$K$1</f>
        <v/>
      </c>
      <c r="L33" s="115">
        <f>C33-$K$1</f>
        <v/>
      </c>
      <c r="M33" s="115">
        <f>D33-$K$1</f>
        <v/>
      </c>
      <c r="N33" s="115">
        <f>E33-$K$1</f>
        <v/>
      </c>
      <c r="O33" s="115">
        <f>F33-$K$1</f>
        <v/>
      </c>
      <c r="P33" s="155">
        <f>G33-$K$1</f>
        <v/>
      </c>
      <c r="Q33" s="179">
        <f>MAX(J33:P33)</f>
        <v/>
      </c>
      <c r="R33" s="160">
        <f>IF(MAX(K33:P33)&gt;=0,1,0)</f>
        <v/>
      </c>
      <c r="S33" s="117">
        <f>IF(R33=1,COUNTIF(K33:P33,Q33),0)</f>
        <v/>
      </c>
      <c r="U33" s="116">
        <f>IF(AND(R33=1,K33=Q33),1/S33,0)</f>
        <v/>
      </c>
      <c r="V33" s="116">
        <f>IF(AND(R33=1,L33=Q33),1/S33,0)</f>
        <v/>
      </c>
      <c r="W33" s="116">
        <f>IF(AND(R33=1,M33=Q33),1/S33,0)</f>
        <v/>
      </c>
      <c r="X33" s="116">
        <f>IF(AND(R33=1,N33=Q33),1/S33,0)</f>
        <v/>
      </c>
      <c r="Y33" s="116">
        <f>IF(AND(R33=1,O33=Q33),1/S33,0)</f>
        <v/>
      </c>
      <c r="Z33" s="116">
        <f>IF(AND(R33=1,P33=Q33),1/S33,0)</f>
        <v/>
      </c>
      <c r="AA33" s="185" t="n"/>
      <c r="AB33" s="185" t="n"/>
    </row>
    <row r="34" ht="21" customHeight="1">
      <c r="A34" s="176" t="n">
        <v>48</v>
      </c>
      <c r="B34" s="107" t="n">
        <v>50</v>
      </c>
      <c r="C34" s="107" t="n">
        <v>50</v>
      </c>
      <c r="D34" s="107" t="n">
        <v>50</v>
      </c>
      <c r="E34" s="107" t="n">
        <v>50</v>
      </c>
      <c r="F34" s="107" t="n">
        <v>50</v>
      </c>
      <c r="G34" s="108" t="n">
        <v>50</v>
      </c>
      <c r="H34" s="168">
        <f>MAX(B34:G34)</f>
        <v/>
      </c>
      <c r="J34" s="154" t="n">
        <v>0</v>
      </c>
      <c r="K34" s="115">
        <f>B34-$K$1</f>
        <v/>
      </c>
      <c r="L34" s="115">
        <f>C34-$K$1</f>
        <v/>
      </c>
      <c r="M34" s="115">
        <f>D34-$K$1</f>
        <v/>
      </c>
      <c r="N34" s="115">
        <f>E34-$K$1</f>
        <v/>
      </c>
      <c r="O34" s="115">
        <f>F34-$K$1</f>
        <v/>
      </c>
      <c r="P34" s="155">
        <f>G34-$K$1</f>
        <v/>
      </c>
      <c r="Q34" s="179">
        <f>MAX(J34:P34)</f>
        <v/>
      </c>
      <c r="R34" s="160">
        <f>IF(MAX(K34:P34)&gt;=0,1,0)</f>
        <v/>
      </c>
      <c r="S34" s="117">
        <f>IF(R34=1,COUNTIF(K34:P34,Q34),0)</f>
        <v/>
      </c>
      <c r="U34" s="116">
        <f>IF(AND(R34=1,K34=Q34),1/S34,0)</f>
        <v/>
      </c>
      <c r="V34" s="116">
        <f>IF(AND(R34=1,L34=Q34),1/S34,0)</f>
        <v/>
      </c>
      <c r="W34" s="116">
        <f>IF(AND(R34=1,M34=Q34),1/S34,0)</f>
        <v/>
      </c>
      <c r="X34" s="116">
        <f>IF(AND(R34=1,N34=Q34),1/S34,0)</f>
        <v/>
      </c>
      <c r="Y34" s="116">
        <f>IF(AND(R34=1,O34=Q34),1/S34,0)</f>
        <v/>
      </c>
      <c r="Z34" s="116">
        <f>IF(AND(R34=1,P34=Q34),1/S34,0)</f>
        <v/>
      </c>
      <c r="AA34" s="185" t="n"/>
      <c r="AB34" s="185" t="n"/>
    </row>
    <row r="35" ht="21" customHeight="1">
      <c r="A35" s="176" t="n">
        <v>49</v>
      </c>
      <c r="B35" s="107" t="n">
        <v>25</v>
      </c>
      <c r="C35" s="107" t="n">
        <v>25</v>
      </c>
      <c r="D35" s="107" t="n">
        <v>25</v>
      </c>
      <c r="E35" s="107" t="n">
        <v>25</v>
      </c>
      <c r="F35" s="107" t="n">
        <v>25</v>
      </c>
      <c r="G35" s="108" t="n">
        <v>25</v>
      </c>
      <c r="H35" s="168">
        <f>MAX(B35:G35)</f>
        <v/>
      </c>
      <c r="J35" s="154" t="n">
        <v>0</v>
      </c>
      <c r="K35" s="115">
        <f>B35-$K$1</f>
        <v/>
      </c>
      <c r="L35" s="115">
        <f>C35-$K$1</f>
        <v/>
      </c>
      <c r="M35" s="115">
        <f>D35-$K$1</f>
        <v/>
      </c>
      <c r="N35" s="115">
        <f>E35-$K$1</f>
        <v/>
      </c>
      <c r="O35" s="115">
        <f>F35-$K$1</f>
        <v/>
      </c>
      <c r="P35" s="155">
        <f>G35-$K$1</f>
        <v/>
      </c>
      <c r="Q35" s="179">
        <f>MAX(J35:P35)</f>
        <v/>
      </c>
      <c r="R35" s="160">
        <f>IF(MAX(K35:P35)&gt;=0,1,0)</f>
        <v/>
      </c>
      <c r="S35" s="117">
        <f>IF(R35=1,COUNTIF(K35:P35,Q35),0)</f>
        <v/>
      </c>
      <c r="U35" s="116">
        <f>IF(AND(R35=1,K35=Q35),1/S35,0)</f>
        <v/>
      </c>
      <c r="V35" s="116">
        <f>IF(AND(R35=1,L35=Q35),1/S35,0)</f>
        <v/>
      </c>
      <c r="W35" s="116">
        <f>IF(AND(R35=1,M35=Q35),1/S35,0)</f>
        <v/>
      </c>
      <c r="X35" s="116">
        <f>IF(AND(R35=1,N35=Q35),1/S35,0)</f>
        <v/>
      </c>
      <c r="Y35" s="116">
        <f>IF(AND(R35=1,O35=Q35),1/S35,0)</f>
        <v/>
      </c>
      <c r="Z35" s="116">
        <f>IF(AND(R35=1,P35=Q35),1/S35,0)</f>
        <v/>
      </c>
      <c r="AA35" s="185" t="n"/>
      <c r="AB35" s="185" t="n"/>
    </row>
    <row r="36" ht="21" customHeight="1">
      <c r="A36" s="176" t="n">
        <v>50</v>
      </c>
      <c r="B36" s="107" t="n">
        <v>50</v>
      </c>
      <c r="C36" s="107" t="n">
        <v>50</v>
      </c>
      <c r="D36" s="107" t="n">
        <v>50</v>
      </c>
      <c r="E36" s="107" t="n">
        <v>50</v>
      </c>
      <c r="F36" s="107" t="n">
        <v>50</v>
      </c>
      <c r="G36" s="108" t="n">
        <v>50</v>
      </c>
      <c r="H36" s="168">
        <f>MAX(B36:G36)</f>
        <v/>
      </c>
      <c r="J36" s="154" t="n">
        <v>0</v>
      </c>
      <c r="K36" s="115">
        <f>B36-$K$1</f>
        <v/>
      </c>
      <c r="L36" s="115">
        <f>C36-$K$1</f>
        <v/>
      </c>
      <c r="M36" s="115">
        <f>D36-$K$1</f>
        <v/>
      </c>
      <c r="N36" s="115">
        <f>E36-$K$1</f>
        <v/>
      </c>
      <c r="O36" s="115">
        <f>F36-$K$1</f>
        <v/>
      </c>
      <c r="P36" s="155">
        <f>G36-$K$1</f>
        <v/>
      </c>
      <c r="Q36" s="179">
        <f>MAX(J36:P36)</f>
        <v/>
      </c>
      <c r="R36" s="160">
        <f>IF(MAX(K36:P36)&gt;=0,1,0)</f>
        <v/>
      </c>
      <c r="S36" s="117">
        <f>IF(R36=1,COUNTIF(K36:P36,Q36),0)</f>
        <v/>
      </c>
      <c r="U36" s="116">
        <f>IF(AND(R36=1,K36=Q36),1/S36,0)</f>
        <v/>
      </c>
      <c r="V36" s="116">
        <f>IF(AND(R36=1,L36=Q36),1/S36,0)</f>
        <v/>
      </c>
      <c r="W36" s="116">
        <f>IF(AND(R36=1,M36=Q36),1/S36,0)</f>
        <v/>
      </c>
      <c r="X36" s="116">
        <f>IF(AND(R36=1,N36=Q36),1/S36,0)</f>
        <v/>
      </c>
      <c r="Y36" s="116">
        <f>IF(AND(R36=1,O36=Q36),1/S36,0)</f>
        <v/>
      </c>
      <c r="Z36" s="116">
        <f>IF(AND(R36=1,P36=Q36),1/S36,0)</f>
        <v/>
      </c>
      <c r="AA36" s="185" t="n"/>
      <c r="AB36" s="185" t="n"/>
    </row>
    <row r="37" ht="21" customHeight="1">
      <c r="A37" s="176" t="n">
        <v>51</v>
      </c>
      <c r="B37" s="107" t="n">
        <v>75</v>
      </c>
      <c r="C37" s="107" t="n">
        <v>75</v>
      </c>
      <c r="D37" s="107" t="n">
        <v>100</v>
      </c>
      <c r="E37" s="107" t="n">
        <v>75</v>
      </c>
      <c r="F37" s="107" t="n">
        <v>100</v>
      </c>
      <c r="G37" s="108" t="n">
        <v>125</v>
      </c>
      <c r="H37" s="168">
        <f>MAX(B37:G37)</f>
        <v/>
      </c>
      <c r="J37" s="154" t="n">
        <v>0</v>
      </c>
      <c r="K37" s="115">
        <f>B37-$K$1</f>
        <v/>
      </c>
      <c r="L37" s="115">
        <f>C37-$K$1</f>
        <v/>
      </c>
      <c r="M37" s="115">
        <f>D37-$K$1</f>
        <v/>
      </c>
      <c r="N37" s="115">
        <f>E37-$K$1</f>
        <v/>
      </c>
      <c r="O37" s="115">
        <f>F37-$K$1</f>
        <v/>
      </c>
      <c r="P37" s="155">
        <f>G37-$K$1</f>
        <v/>
      </c>
      <c r="Q37" s="179">
        <f>MAX(J37:P37)</f>
        <v/>
      </c>
      <c r="R37" s="160">
        <f>IF(MAX(K37:P37)&gt;=0,1,0)</f>
        <v/>
      </c>
      <c r="S37" s="117">
        <f>IF(R37=1,COUNTIF(K37:P37,Q37),0)</f>
        <v/>
      </c>
      <c r="U37" s="116">
        <f>IF(AND(R37=1,K37=Q37),1/S37,0)</f>
        <v/>
      </c>
      <c r="V37" s="116">
        <f>IF(AND(R37=1,L37=Q37),1/S37,0)</f>
        <v/>
      </c>
      <c r="W37" s="116">
        <f>IF(AND(R37=1,M37=Q37),1/S37,0)</f>
        <v/>
      </c>
      <c r="X37" s="116">
        <f>IF(AND(R37=1,N37=Q37),1/S37,0)</f>
        <v/>
      </c>
      <c r="Y37" s="116">
        <f>IF(AND(R37=1,O37=Q37),1/S37,0)</f>
        <v/>
      </c>
      <c r="Z37" s="116">
        <f>IF(AND(R37=1,P37=Q37),1/S37,0)</f>
        <v/>
      </c>
      <c r="AA37" s="185" t="n"/>
      <c r="AB37" s="185" t="n"/>
    </row>
    <row r="38" ht="21" customHeight="1">
      <c r="A38" s="176" t="n">
        <v>53</v>
      </c>
      <c r="B38" s="107" t="n">
        <v>100</v>
      </c>
      <c r="C38" s="107" t="n">
        <v>75</v>
      </c>
      <c r="D38" s="107" t="n">
        <v>75</v>
      </c>
      <c r="E38" s="107" t="n">
        <v>75</v>
      </c>
      <c r="F38" s="107" t="n">
        <v>100</v>
      </c>
      <c r="G38" s="108" t="n">
        <v>100</v>
      </c>
      <c r="H38" s="168">
        <f>MAX(B38:G38)</f>
        <v/>
      </c>
      <c r="J38" s="154" t="n">
        <v>0</v>
      </c>
      <c r="K38" s="115">
        <f>B38-$K$1</f>
        <v/>
      </c>
      <c r="L38" s="115">
        <f>C38-$K$1</f>
        <v/>
      </c>
      <c r="M38" s="115">
        <f>D38-$K$1</f>
        <v/>
      </c>
      <c r="N38" s="115">
        <f>E38-$K$1</f>
        <v/>
      </c>
      <c r="O38" s="115">
        <f>F38-$K$1</f>
        <v/>
      </c>
      <c r="P38" s="155">
        <f>G38-$K$1</f>
        <v/>
      </c>
      <c r="Q38" s="179">
        <f>MAX(J38:P38)</f>
        <v/>
      </c>
      <c r="R38" s="160">
        <f>IF(MAX(K38:P38)&gt;=0,1,0)</f>
        <v/>
      </c>
      <c r="S38" s="117">
        <f>IF(R38=1,COUNTIF(K38:P38,Q38),0)</f>
        <v/>
      </c>
      <c r="U38" s="116">
        <f>IF(AND(R38=1,K38=Q38),1/S38,0)</f>
        <v/>
      </c>
      <c r="V38" s="116">
        <f>IF(AND(R38=1,L38=Q38),1/S38,0)</f>
        <v/>
      </c>
      <c r="W38" s="116">
        <f>IF(AND(R38=1,M38=Q38),1/S38,0)</f>
        <v/>
      </c>
      <c r="X38" s="116">
        <f>IF(AND(R38=1,N38=Q38),1/S38,0)</f>
        <v/>
      </c>
      <c r="Y38" s="116">
        <f>IF(AND(R38=1,O38=Q38),1/S38,0)</f>
        <v/>
      </c>
      <c r="Z38" s="116">
        <f>IF(AND(R38=1,P38=Q38),1/S38,0)</f>
        <v/>
      </c>
      <c r="AA38" s="185" t="n"/>
      <c r="AB38" s="185" t="n"/>
    </row>
    <row r="39" ht="21" customHeight="1">
      <c r="A39" s="176" t="n">
        <v>55</v>
      </c>
      <c r="B39" s="107" t="n">
        <v>25</v>
      </c>
      <c r="C39" s="107" t="n">
        <v>25</v>
      </c>
      <c r="D39" s="107" t="n">
        <v>25</v>
      </c>
      <c r="E39" s="107" t="n">
        <v>25</v>
      </c>
      <c r="F39" s="107" t="n">
        <v>25</v>
      </c>
      <c r="G39" s="108" t="n">
        <v>25</v>
      </c>
      <c r="H39" s="168">
        <f>MAX(B39:G39)</f>
        <v/>
      </c>
      <c r="J39" s="154" t="n">
        <v>0</v>
      </c>
      <c r="K39" s="115">
        <f>B39-$K$1</f>
        <v/>
      </c>
      <c r="L39" s="115">
        <f>C39-$K$1</f>
        <v/>
      </c>
      <c r="M39" s="115">
        <f>D39-$K$1</f>
        <v/>
      </c>
      <c r="N39" s="115">
        <f>E39-$K$1</f>
        <v/>
      </c>
      <c r="O39" s="115">
        <f>F39-$K$1</f>
        <v/>
      </c>
      <c r="P39" s="155">
        <f>G39-$K$1</f>
        <v/>
      </c>
      <c r="Q39" s="179">
        <f>MAX(J39:P39)</f>
        <v/>
      </c>
      <c r="R39" s="160">
        <f>IF(MAX(K39:P39)&gt;=0,1,0)</f>
        <v/>
      </c>
      <c r="S39" s="117">
        <f>IF(R39=1,COUNTIF(K39:P39,Q39),0)</f>
        <v/>
      </c>
      <c r="U39" s="116">
        <f>IF(AND(R39=1,K39=Q39),1/S39,0)</f>
        <v/>
      </c>
      <c r="V39" s="116">
        <f>IF(AND(R39=1,L39=Q39),1/S39,0)</f>
        <v/>
      </c>
      <c r="W39" s="116">
        <f>IF(AND(R39=1,M39=Q39),1/S39,0)</f>
        <v/>
      </c>
      <c r="X39" s="116">
        <f>IF(AND(R39=1,N39=Q39),1/S39,0)</f>
        <v/>
      </c>
      <c r="Y39" s="116">
        <f>IF(AND(R39=1,O39=Q39),1/S39,0)</f>
        <v/>
      </c>
      <c r="Z39" s="116">
        <f>IF(AND(R39=1,P39=Q39),1/S39,0)</f>
        <v/>
      </c>
      <c r="AA39" s="185" t="n"/>
      <c r="AB39" s="185" t="n"/>
    </row>
    <row r="40" ht="21" customHeight="1">
      <c r="A40" s="176" t="n">
        <v>57</v>
      </c>
      <c r="B40" s="107" t="n">
        <v>75</v>
      </c>
      <c r="C40" s="107" t="n">
        <v>75</v>
      </c>
      <c r="D40" s="107" t="n">
        <v>75</v>
      </c>
      <c r="E40" s="107" t="n">
        <v>75</v>
      </c>
      <c r="F40" s="107" t="n">
        <v>75</v>
      </c>
      <c r="G40" s="108" t="n">
        <v>75</v>
      </c>
      <c r="H40" s="168">
        <f>MAX(B40:G40)</f>
        <v/>
      </c>
      <c r="J40" s="154" t="n">
        <v>0</v>
      </c>
      <c r="K40" s="115">
        <f>B40-$K$1</f>
        <v/>
      </c>
      <c r="L40" s="115">
        <f>C40-$K$1</f>
        <v/>
      </c>
      <c r="M40" s="115">
        <f>D40-$K$1</f>
        <v/>
      </c>
      <c r="N40" s="115">
        <f>E40-$K$1</f>
        <v/>
      </c>
      <c r="O40" s="115">
        <f>F40-$K$1</f>
        <v/>
      </c>
      <c r="P40" s="155">
        <f>G40-$K$1</f>
        <v/>
      </c>
      <c r="Q40" s="179">
        <f>MAX(J40:P40)</f>
        <v/>
      </c>
      <c r="R40" s="160">
        <f>IF(MAX(K40:P40)&gt;=0,1,0)</f>
        <v/>
      </c>
      <c r="S40" s="117">
        <f>IF(R40=1,COUNTIF(K40:P40,Q40),0)</f>
        <v/>
      </c>
      <c r="U40" s="116">
        <f>IF(AND(R40=1,K40=Q40),1/S40,0)</f>
        <v/>
      </c>
      <c r="V40" s="116">
        <f>IF(AND(R40=1,L40=Q40),1/S40,0)</f>
        <v/>
      </c>
      <c r="W40" s="116">
        <f>IF(AND(R40=1,M40=Q40),1/S40,0)</f>
        <v/>
      </c>
      <c r="X40" s="116">
        <f>IF(AND(R40=1,N40=Q40),1/S40,0)</f>
        <v/>
      </c>
      <c r="Y40" s="116">
        <f>IF(AND(R40=1,O40=Q40),1/S40,0)</f>
        <v/>
      </c>
      <c r="Z40" s="116">
        <f>IF(AND(R40=1,P40=Q40),1/S40,0)</f>
        <v/>
      </c>
      <c r="AA40" s="185" t="n"/>
      <c r="AB40" s="185" t="n"/>
    </row>
    <row r="41" ht="21" customHeight="1">
      <c r="A41" s="176" t="n">
        <v>59</v>
      </c>
      <c r="B41" s="107" t="n">
        <v>100</v>
      </c>
      <c r="C41" s="107" t="n">
        <v>100</v>
      </c>
      <c r="D41" s="107" t="n">
        <v>100</v>
      </c>
      <c r="E41" s="107" t="n">
        <v>100</v>
      </c>
      <c r="F41" s="107" t="n">
        <v>100</v>
      </c>
      <c r="G41" s="108" t="n">
        <v>100</v>
      </c>
      <c r="H41" s="168">
        <f>MAX(B41:G41)</f>
        <v/>
      </c>
      <c r="J41" s="154" t="n">
        <v>0</v>
      </c>
      <c r="K41" s="115">
        <f>B41-$K$1</f>
        <v/>
      </c>
      <c r="L41" s="115">
        <f>C41-$K$1</f>
        <v/>
      </c>
      <c r="M41" s="115">
        <f>D41-$K$1</f>
        <v/>
      </c>
      <c r="N41" s="115">
        <f>E41-$K$1</f>
        <v/>
      </c>
      <c r="O41" s="115">
        <f>F41-$K$1</f>
        <v/>
      </c>
      <c r="P41" s="155">
        <f>G41-$K$1</f>
        <v/>
      </c>
      <c r="Q41" s="179">
        <f>MAX(J41:P41)</f>
        <v/>
      </c>
      <c r="R41" s="160">
        <f>IF(MAX(K41:P41)&gt;=0,1,0)</f>
        <v/>
      </c>
      <c r="S41" s="117">
        <f>IF(R41=1,COUNTIF(K41:P41,Q41),0)</f>
        <v/>
      </c>
      <c r="U41" s="116">
        <f>IF(AND(R41=1,K41=Q41),1/S41,0)</f>
        <v/>
      </c>
      <c r="V41" s="116">
        <f>IF(AND(R41=1,L41=Q41),1/S41,0)</f>
        <v/>
      </c>
      <c r="W41" s="116">
        <f>IF(AND(R41=1,M41=Q41),1/S41,0)</f>
        <v/>
      </c>
      <c r="X41" s="116">
        <f>IF(AND(R41=1,N41=Q41),1/S41,0)</f>
        <v/>
      </c>
      <c r="Y41" s="116">
        <f>IF(AND(R41=1,O41=Q41),1/S41,0)</f>
        <v/>
      </c>
      <c r="Z41" s="116">
        <f>IF(AND(R41=1,P41=Q41),1/S41,0)</f>
        <v/>
      </c>
      <c r="AA41" s="185" t="n"/>
      <c r="AB41" s="185" t="n"/>
    </row>
    <row r="42" ht="21" customHeight="1">
      <c r="A42" s="176" t="n">
        <v>60</v>
      </c>
      <c r="B42" s="107" t="n">
        <v>75</v>
      </c>
      <c r="C42" s="107" t="n">
        <v>75</v>
      </c>
      <c r="D42" s="107" t="n">
        <v>75</v>
      </c>
      <c r="E42" s="107" t="n">
        <v>75</v>
      </c>
      <c r="F42" s="107" t="n">
        <v>75</v>
      </c>
      <c r="G42" s="108" t="n">
        <v>75</v>
      </c>
      <c r="H42" s="168">
        <f>MAX(B42:G42)</f>
        <v/>
      </c>
      <c r="J42" s="154" t="n">
        <v>0</v>
      </c>
      <c r="K42" s="115">
        <f>B42-$K$1</f>
        <v/>
      </c>
      <c r="L42" s="115">
        <f>C42-$K$1</f>
        <v/>
      </c>
      <c r="M42" s="115">
        <f>D42-$K$1</f>
        <v/>
      </c>
      <c r="N42" s="115">
        <f>E42-$K$1</f>
        <v/>
      </c>
      <c r="O42" s="115">
        <f>F42-$K$1</f>
        <v/>
      </c>
      <c r="P42" s="155">
        <f>G42-$K$1</f>
        <v/>
      </c>
      <c r="Q42" s="179">
        <f>MAX(J42:P42)</f>
        <v/>
      </c>
      <c r="R42" s="160">
        <f>IF(MAX(K42:P42)&gt;=0,1,0)</f>
        <v/>
      </c>
      <c r="S42" s="117">
        <f>IF(R42=1,COUNTIF(K42:P42,Q42),0)</f>
        <v/>
      </c>
      <c r="U42" s="116">
        <f>IF(AND(R42=1,K42=Q42),1/S42,0)</f>
        <v/>
      </c>
      <c r="V42" s="116">
        <f>IF(AND(R42=1,L42=Q42),1/S42,0)</f>
        <v/>
      </c>
      <c r="W42" s="116">
        <f>IF(AND(R42=1,M42=Q42),1/S42,0)</f>
        <v/>
      </c>
      <c r="X42" s="116">
        <f>IF(AND(R42=1,N42=Q42),1/S42,0)</f>
        <v/>
      </c>
      <c r="Y42" s="116">
        <f>IF(AND(R42=1,O42=Q42),1/S42,0)</f>
        <v/>
      </c>
      <c r="Z42" s="116">
        <f>IF(AND(R42=1,P42=Q42),1/S42,0)</f>
        <v/>
      </c>
      <c r="AA42" s="185" t="n"/>
      <c r="AB42" s="185" t="n"/>
    </row>
    <row r="43" ht="21" customHeight="1">
      <c r="A43" s="176" t="n">
        <v>61</v>
      </c>
      <c r="B43" s="107" t="n">
        <v>100</v>
      </c>
      <c r="C43" s="107" t="n">
        <v>75</v>
      </c>
      <c r="D43" s="107" t="n">
        <v>75</v>
      </c>
      <c r="E43" s="107" t="n">
        <v>75</v>
      </c>
      <c r="F43" s="107" t="n">
        <v>100</v>
      </c>
      <c r="G43" s="108" t="n">
        <v>75</v>
      </c>
      <c r="H43" s="168">
        <f>MAX(B43:G43)</f>
        <v/>
      </c>
      <c r="J43" s="154" t="n">
        <v>0</v>
      </c>
      <c r="K43" s="115">
        <f>B43-$K$1</f>
        <v/>
      </c>
      <c r="L43" s="115">
        <f>C43-$K$1</f>
        <v/>
      </c>
      <c r="M43" s="115">
        <f>D43-$K$1</f>
        <v/>
      </c>
      <c r="N43" s="115">
        <f>E43-$K$1</f>
        <v/>
      </c>
      <c r="O43" s="115">
        <f>F43-$K$1</f>
        <v/>
      </c>
      <c r="P43" s="155">
        <f>G43-$K$1</f>
        <v/>
      </c>
      <c r="Q43" s="179">
        <f>MAX(J43:P43)</f>
        <v/>
      </c>
      <c r="R43" s="160">
        <f>IF(MAX(K43:P43)&gt;=0,1,0)</f>
        <v/>
      </c>
      <c r="S43" s="117">
        <f>IF(R43=1,COUNTIF(K43:P43,Q43),0)</f>
        <v/>
      </c>
      <c r="U43" s="116">
        <f>IF(AND(R43=1,K43=Q43),1/S43,0)</f>
        <v/>
      </c>
      <c r="V43" s="116">
        <f>IF(AND(R43=1,L43=Q43),1/S43,0)</f>
        <v/>
      </c>
      <c r="W43" s="116">
        <f>IF(AND(R43=1,M43=Q43),1/S43,0)</f>
        <v/>
      </c>
      <c r="X43" s="116">
        <f>IF(AND(R43=1,N43=Q43),1/S43,0)</f>
        <v/>
      </c>
      <c r="Y43" s="116">
        <f>IF(AND(R43=1,O43=Q43),1/S43,0)</f>
        <v/>
      </c>
      <c r="Z43" s="116">
        <f>IF(AND(R43=1,P43=Q43),1/S43,0)</f>
        <v/>
      </c>
      <c r="AA43" s="185" t="n"/>
      <c r="AB43" s="185" t="n"/>
    </row>
    <row r="44" ht="21" customHeight="1">
      <c r="A44" s="176" t="n">
        <v>62</v>
      </c>
      <c r="B44" s="107" t="n">
        <v>100</v>
      </c>
      <c r="C44" s="107" t="n">
        <v>100</v>
      </c>
      <c r="D44" s="107" t="n">
        <v>100</v>
      </c>
      <c r="E44" s="107" t="n">
        <v>100</v>
      </c>
      <c r="F44" s="107" t="n">
        <v>100</v>
      </c>
      <c r="G44" s="108" t="n">
        <v>100</v>
      </c>
      <c r="H44" s="168">
        <f>MAX(B44:G44)</f>
        <v/>
      </c>
      <c r="J44" s="154" t="n">
        <v>0</v>
      </c>
      <c r="K44" s="115">
        <f>B44-$K$1</f>
        <v/>
      </c>
      <c r="L44" s="115">
        <f>C44-$K$1</f>
        <v/>
      </c>
      <c r="M44" s="115">
        <f>D44-$K$1</f>
        <v/>
      </c>
      <c r="N44" s="115">
        <f>E44-$K$1</f>
        <v/>
      </c>
      <c r="O44" s="115">
        <f>F44-$K$1</f>
        <v/>
      </c>
      <c r="P44" s="155">
        <f>G44-$K$1</f>
        <v/>
      </c>
      <c r="Q44" s="179">
        <f>MAX(J44:P44)</f>
        <v/>
      </c>
      <c r="R44" s="160">
        <f>IF(MAX(K44:P44)&gt;=0,1,0)</f>
        <v/>
      </c>
      <c r="S44" s="117">
        <f>IF(R44=1,COUNTIF(K44:P44,Q44),0)</f>
        <v/>
      </c>
      <c r="U44" s="116">
        <f>IF(AND(R44=1,K44=Q44),1/S44,0)</f>
        <v/>
      </c>
      <c r="V44" s="116">
        <f>IF(AND(R44=1,L44=Q44),1/S44,0)</f>
        <v/>
      </c>
      <c r="W44" s="116">
        <f>IF(AND(R44=1,M44=Q44),1/S44,0)</f>
        <v/>
      </c>
      <c r="X44" s="116">
        <f>IF(AND(R44=1,N44=Q44),1/S44,0)</f>
        <v/>
      </c>
      <c r="Y44" s="116">
        <f>IF(AND(R44=1,O44=Q44),1/S44,0)</f>
        <v/>
      </c>
      <c r="Z44" s="116">
        <f>IF(AND(R44=1,P44=Q44),1/S44,0)</f>
        <v/>
      </c>
      <c r="AA44" s="185" t="n"/>
      <c r="AB44" s="185" t="n"/>
    </row>
    <row r="45" ht="21" customHeight="1">
      <c r="A45" s="176" t="n">
        <v>64</v>
      </c>
      <c r="B45" s="107" t="n">
        <v>50</v>
      </c>
      <c r="C45" s="107" t="n">
        <v>50</v>
      </c>
      <c r="D45" s="107" t="n">
        <v>50</v>
      </c>
      <c r="E45" s="107" t="n">
        <v>50</v>
      </c>
      <c r="F45" s="107" t="n">
        <v>50</v>
      </c>
      <c r="G45" s="108" t="n">
        <v>50</v>
      </c>
      <c r="H45" s="168">
        <f>MAX(B45:G45)</f>
        <v/>
      </c>
      <c r="J45" s="154" t="n">
        <v>0</v>
      </c>
      <c r="K45" s="115">
        <f>B45-$K$1</f>
        <v/>
      </c>
      <c r="L45" s="115">
        <f>C45-$K$1</f>
        <v/>
      </c>
      <c r="M45" s="115">
        <f>D45-$K$1</f>
        <v/>
      </c>
      <c r="N45" s="115">
        <f>E45-$K$1</f>
        <v/>
      </c>
      <c r="O45" s="115">
        <f>F45-$K$1</f>
        <v/>
      </c>
      <c r="P45" s="155">
        <f>G45-$K$1</f>
        <v/>
      </c>
      <c r="Q45" s="179">
        <f>MAX(J45:P45)</f>
        <v/>
      </c>
      <c r="R45" s="160">
        <f>IF(MAX(K45:P45)&gt;=0,1,0)</f>
        <v/>
      </c>
      <c r="S45" s="117">
        <f>IF(R45=1,COUNTIF(K45:P45,Q45),0)</f>
        <v/>
      </c>
      <c r="U45" s="116">
        <f>IF(AND(R45=1,K45=Q45),1/S45,0)</f>
        <v/>
      </c>
      <c r="V45" s="116">
        <f>IF(AND(R45=1,L45=Q45),1/S45,0)</f>
        <v/>
      </c>
      <c r="W45" s="116">
        <f>IF(AND(R45=1,M45=Q45),1/S45,0)</f>
        <v/>
      </c>
      <c r="X45" s="116">
        <f>IF(AND(R45=1,N45=Q45),1/S45,0)</f>
        <v/>
      </c>
      <c r="Y45" s="116">
        <f>IF(AND(R45=1,O45=Q45),1/S45,0)</f>
        <v/>
      </c>
      <c r="Z45" s="116">
        <f>IF(AND(R45=1,P45=Q45),1/S45,0)</f>
        <v/>
      </c>
      <c r="AA45" s="185" t="n"/>
      <c r="AB45" s="185" t="n"/>
    </row>
    <row r="46" ht="21" customHeight="1">
      <c r="A46" s="176" t="n">
        <v>66</v>
      </c>
      <c r="B46" s="107" t="n">
        <v>75</v>
      </c>
      <c r="C46" s="107" t="n">
        <v>75</v>
      </c>
      <c r="D46" s="107" t="n">
        <v>75</v>
      </c>
      <c r="E46" s="107" t="n">
        <v>75</v>
      </c>
      <c r="F46" s="107" t="n">
        <v>75</v>
      </c>
      <c r="G46" s="108" t="n">
        <v>75</v>
      </c>
      <c r="H46" s="168">
        <f>MAX(B46:G46)</f>
        <v/>
      </c>
      <c r="J46" s="154" t="n">
        <v>0</v>
      </c>
      <c r="K46" s="115">
        <f>B46-$K$1</f>
        <v/>
      </c>
      <c r="L46" s="115">
        <f>C46-$K$1</f>
        <v/>
      </c>
      <c r="M46" s="115">
        <f>D46-$K$1</f>
        <v/>
      </c>
      <c r="N46" s="115">
        <f>E46-$K$1</f>
        <v/>
      </c>
      <c r="O46" s="115">
        <f>F46-$K$1</f>
        <v/>
      </c>
      <c r="P46" s="155">
        <f>G46-$K$1</f>
        <v/>
      </c>
      <c r="Q46" s="179">
        <f>MAX(J46:P46)</f>
        <v/>
      </c>
      <c r="R46" s="160">
        <f>IF(MAX(K46:P46)&gt;=0,1,0)</f>
        <v/>
      </c>
      <c r="S46" s="117">
        <f>IF(R46=1,COUNTIF(K46:P46,Q46),0)</f>
        <v/>
      </c>
      <c r="U46" s="116">
        <f>IF(AND(R46=1,K46=Q46),1/S46,0)</f>
        <v/>
      </c>
      <c r="V46" s="116">
        <f>IF(AND(R46=1,L46=Q46),1/S46,0)</f>
        <v/>
      </c>
      <c r="W46" s="116">
        <f>IF(AND(R46=1,M46=Q46),1/S46,0)</f>
        <v/>
      </c>
      <c r="X46" s="116">
        <f>IF(AND(R46=1,N46=Q46),1/S46,0)</f>
        <v/>
      </c>
      <c r="Y46" s="116">
        <f>IF(AND(R46=1,O46=Q46),1/S46,0)</f>
        <v/>
      </c>
      <c r="Z46" s="116">
        <f>IF(AND(R46=1,P46=Q46),1/S46,0)</f>
        <v/>
      </c>
      <c r="AA46" s="185" t="n"/>
      <c r="AB46" s="185" t="n"/>
    </row>
    <row r="47" ht="21" customHeight="1">
      <c r="A47" s="176" t="n">
        <v>67</v>
      </c>
      <c r="B47" s="107" t="n">
        <v>75</v>
      </c>
      <c r="C47" s="107" t="n">
        <v>50</v>
      </c>
      <c r="D47" s="107" t="n">
        <v>50</v>
      </c>
      <c r="E47" s="107" t="n">
        <v>50</v>
      </c>
      <c r="F47" s="107" t="n">
        <v>75</v>
      </c>
      <c r="G47" s="108" t="n">
        <v>75</v>
      </c>
      <c r="H47" s="168">
        <f>MAX(B47:G47)</f>
        <v/>
      </c>
      <c r="J47" s="154" t="n">
        <v>0</v>
      </c>
      <c r="K47" s="115">
        <f>B47-$K$1</f>
        <v/>
      </c>
      <c r="L47" s="115">
        <f>C47-$K$1</f>
        <v/>
      </c>
      <c r="M47" s="115">
        <f>D47-$K$1</f>
        <v/>
      </c>
      <c r="N47" s="115">
        <f>E47-$K$1</f>
        <v/>
      </c>
      <c r="O47" s="115">
        <f>F47-$K$1</f>
        <v/>
      </c>
      <c r="P47" s="155">
        <f>G47-$K$1</f>
        <v/>
      </c>
      <c r="Q47" s="179">
        <f>MAX(J47:P47)</f>
        <v/>
      </c>
      <c r="R47" s="160">
        <f>IF(MAX(K47:P47)&gt;=0,1,0)</f>
        <v/>
      </c>
      <c r="S47" s="117">
        <f>IF(R47=1,COUNTIF(K47:P47,Q47),0)</f>
        <v/>
      </c>
      <c r="U47" s="116">
        <f>IF(AND(R47=1,K47=Q47),1/S47,0)</f>
        <v/>
      </c>
      <c r="V47" s="116">
        <f>IF(AND(R47=1,L47=Q47),1/S47,0)</f>
        <v/>
      </c>
      <c r="W47" s="116">
        <f>IF(AND(R47=1,M47=Q47),1/S47,0)</f>
        <v/>
      </c>
      <c r="X47" s="116">
        <f>IF(AND(R47=1,N47=Q47),1/S47,0)</f>
        <v/>
      </c>
      <c r="Y47" s="116">
        <f>IF(AND(R47=1,O47=Q47),1/S47,0)</f>
        <v/>
      </c>
      <c r="Z47" s="116">
        <f>IF(AND(R47=1,P47=Q47),1/S47,0)</f>
        <v/>
      </c>
      <c r="AA47" s="185" t="n"/>
      <c r="AB47" s="185" t="n"/>
    </row>
    <row r="48" ht="21" customHeight="1">
      <c r="A48" s="176" t="n">
        <v>69</v>
      </c>
      <c r="B48" s="107" t="n">
        <v>50</v>
      </c>
      <c r="C48" s="107" t="n">
        <v>50</v>
      </c>
      <c r="D48" s="107" t="n">
        <v>50</v>
      </c>
      <c r="E48" s="107" t="n">
        <v>50</v>
      </c>
      <c r="F48" s="107" t="n">
        <v>50</v>
      </c>
      <c r="G48" s="108" t="n">
        <v>50</v>
      </c>
      <c r="H48" s="168">
        <f>MAX(B48:G48)</f>
        <v/>
      </c>
      <c r="J48" s="154" t="n">
        <v>0</v>
      </c>
      <c r="K48" s="115">
        <f>B48-$K$1</f>
        <v/>
      </c>
      <c r="L48" s="115">
        <f>C48-$K$1</f>
        <v/>
      </c>
      <c r="M48" s="115">
        <f>D48-$K$1</f>
        <v/>
      </c>
      <c r="N48" s="115">
        <f>E48-$K$1</f>
        <v/>
      </c>
      <c r="O48" s="115">
        <f>F48-$K$1</f>
        <v/>
      </c>
      <c r="P48" s="155">
        <f>G48-$K$1</f>
        <v/>
      </c>
      <c r="Q48" s="179">
        <f>MAX(J48:P48)</f>
        <v/>
      </c>
      <c r="R48" s="160">
        <f>IF(MAX(K48:P48)&gt;=0,1,0)</f>
        <v/>
      </c>
      <c r="S48" s="117">
        <f>IF(R48=1,COUNTIF(K48:P48,Q48),0)</f>
        <v/>
      </c>
      <c r="U48" s="116">
        <f>IF(AND(R48=1,K48=Q48),1/S48,0)</f>
        <v/>
      </c>
      <c r="V48" s="116">
        <f>IF(AND(R48=1,L48=Q48),1/S48,0)</f>
        <v/>
      </c>
      <c r="W48" s="116">
        <f>IF(AND(R48=1,M48=Q48),1/S48,0)</f>
        <v/>
      </c>
      <c r="X48" s="116">
        <f>IF(AND(R48=1,N48=Q48),1/S48,0)</f>
        <v/>
      </c>
      <c r="Y48" s="116">
        <f>IF(AND(R48=1,O48=Q48),1/S48,0)</f>
        <v/>
      </c>
      <c r="Z48" s="116">
        <f>IF(AND(R48=1,P48=Q48),1/S48,0)</f>
        <v/>
      </c>
      <c r="AA48" s="185" t="n"/>
      <c r="AB48" s="185" t="n"/>
    </row>
    <row r="49" ht="21" customHeight="1">
      <c r="A49" s="176" t="n">
        <v>70</v>
      </c>
      <c r="B49" s="107" t="n">
        <v>75</v>
      </c>
      <c r="C49" s="107" t="n">
        <v>25</v>
      </c>
      <c r="D49" s="107" t="n">
        <v>25</v>
      </c>
      <c r="E49" s="107" t="n">
        <v>25</v>
      </c>
      <c r="F49" s="107" t="n">
        <v>75</v>
      </c>
      <c r="G49" s="108" t="n">
        <v>25</v>
      </c>
      <c r="H49" s="168">
        <f>MAX(B49:G49)</f>
        <v/>
      </c>
      <c r="J49" s="154" t="n">
        <v>0</v>
      </c>
      <c r="K49" s="115">
        <f>B49-$K$1</f>
        <v/>
      </c>
      <c r="L49" s="115">
        <f>C49-$K$1</f>
        <v/>
      </c>
      <c r="M49" s="115">
        <f>D49-$K$1</f>
        <v/>
      </c>
      <c r="N49" s="115">
        <f>E49-$K$1</f>
        <v/>
      </c>
      <c r="O49" s="115">
        <f>F49-$K$1</f>
        <v/>
      </c>
      <c r="P49" s="155">
        <f>G49-$K$1</f>
        <v/>
      </c>
      <c r="Q49" s="179">
        <f>MAX(J49:P49)</f>
        <v/>
      </c>
      <c r="R49" s="160">
        <f>IF(MAX(K49:P49)&gt;=0,1,0)</f>
        <v/>
      </c>
      <c r="S49" s="117">
        <f>IF(R49=1,COUNTIF(K49:P49,Q49),0)</f>
        <v/>
      </c>
      <c r="U49" s="116">
        <f>IF(AND(R49=1,K49=Q49),1/S49,0)</f>
        <v/>
      </c>
      <c r="V49" s="116">
        <f>IF(AND(R49=1,L49=Q49),1/S49,0)</f>
        <v/>
      </c>
      <c r="W49" s="116">
        <f>IF(AND(R49=1,M49=Q49),1/S49,0)</f>
        <v/>
      </c>
      <c r="X49" s="116">
        <f>IF(AND(R49=1,N49=Q49),1/S49,0)</f>
        <v/>
      </c>
      <c r="Y49" s="116">
        <f>IF(AND(R49=1,O49=Q49),1/S49,0)</f>
        <v/>
      </c>
      <c r="Z49" s="116">
        <f>IF(AND(R49=1,P49=Q49),1/S49,0)</f>
        <v/>
      </c>
      <c r="AA49" s="185" t="n"/>
      <c r="AB49" s="185" t="n"/>
    </row>
    <row r="50" ht="21" customHeight="1">
      <c r="A50" s="176" t="n">
        <v>71</v>
      </c>
      <c r="B50" s="107" t="n">
        <v>75</v>
      </c>
      <c r="C50" s="107" t="n">
        <v>50</v>
      </c>
      <c r="D50" s="107" t="n">
        <v>75</v>
      </c>
      <c r="E50" s="107" t="n">
        <v>50</v>
      </c>
      <c r="F50" s="107" t="n">
        <v>75</v>
      </c>
      <c r="G50" s="108" t="n">
        <v>25</v>
      </c>
      <c r="H50" s="168">
        <f>MAX(B50:G50)</f>
        <v/>
      </c>
      <c r="J50" s="154" t="n">
        <v>0</v>
      </c>
      <c r="K50" s="115">
        <f>B50-$K$1</f>
        <v/>
      </c>
      <c r="L50" s="115">
        <f>C50-$K$1</f>
        <v/>
      </c>
      <c r="M50" s="115">
        <f>D50-$K$1</f>
        <v/>
      </c>
      <c r="N50" s="115">
        <f>E50-$K$1</f>
        <v/>
      </c>
      <c r="O50" s="115">
        <f>F50-$K$1</f>
        <v/>
      </c>
      <c r="P50" s="155">
        <f>G50-$K$1</f>
        <v/>
      </c>
      <c r="Q50" s="179">
        <f>MAX(J50:P50)</f>
        <v/>
      </c>
      <c r="R50" s="160">
        <f>IF(MAX(K50:P50)&gt;=0,1,0)</f>
        <v/>
      </c>
      <c r="S50" s="117">
        <f>IF(R50=1,COUNTIF(K50:P50,Q50),0)</f>
        <v/>
      </c>
      <c r="U50" s="116">
        <f>IF(AND(R50=1,K50=Q50),1/S50,0)</f>
        <v/>
      </c>
      <c r="V50" s="116">
        <f>IF(AND(R50=1,L50=Q50),1/S50,0)</f>
        <v/>
      </c>
      <c r="W50" s="116">
        <f>IF(AND(R50=1,M50=Q50),1/S50,0)</f>
        <v/>
      </c>
      <c r="X50" s="116">
        <f>IF(AND(R50=1,N50=Q50),1/S50,0)</f>
        <v/>
      </c>
      <c r="Y50" s="116">
        <f>IF(AND(R50=1,O50=Q50),1/S50,0)</f>
        <v/>
      </c>
      <c r="Z50" s="116">
        <f>IF(AND(R50=1,P50=Q50),1/S50,0)</f>
        <v/>
      </c>
      <c r="AA50" s="185" t="n"/>
      <c r="AB50" s="185" t="n"/>
    </row>
    <row r="51" ht="21" customHeight="1">
      <c r="A51" s="176" t="n">
        <v>73</v>
      </c>
      <c r="B51" s="107" t="n">
        <v>50</v>
      </c>
      <c r="C51" s="107" t="n">
        <v>25</v>
      </c>
      <c r="D51" s="107" t="n">
        <v>50</v>
      </c>
      <c r="E51" s="107" t="n">
        <v>50</v>
      </c>
      <c r="F51" s="107" t="n">
        <v>50</v>
      </c>
      <c r="G51" s="108" t="n">
        <v>25</v>
      </c>
      <c r="H51" s="168">
        <f>MAX(B51:G51)</f>
        <v/>
      </c>
      <c r="J51" s="154" t="n">
        <v>0</v>
      </c>
      <c r="K51" s="115">
        <f>B51-$K$1</f>
        <v/>
      </c>
      <c r="L51" s="115">
        <f>C51-$K$1</f>
        <v/>
      </c>
      <c r="M51" s="115">
        <f>D51-$K$1</f>
        <v/>
      </c>
      <c r="N51" s="115">
        <f>E51-$K$1</f>
        <v/>
      </c>
      <c r="O51" s="115">
        <f>F51-$K$1</f>
        <v/>
      </c>
      <c r="P51" s="155">
        <f>G51-$K$1</f>
        <v/>
      </c>
      <c r="Q51" s="179">
        <f>MAX(J51:P51)</f>
        <v/>
      </c>
      <c r="R51" s="160">
        <f>IF(MAX(K51:P51)&gt;=0,1,0)</f>
        <v/>
      </c>
      <c r="S51" s="117">
        <f>IF(R51=1,COUNTIF(K51:P51,Q51),0)</f>
        <v/>
      </c>
      <c r="U51" s="116">
        <f>IF(AND(R51=1,K51=Q51),1/S51,0)</f>
        <v/>
      </c>
      <c r="V51" s="116">
        <f>IF(AND(R51=1,L51=Q51),1/S51,0)</f>
        <v/>
      </c>
      <c r="W51" s="116">
        <f>IF(AND(R51=1,M51=Q51),1/S51,0)</f>
        <v/>
      </c>
      <c r="X51" s="116">
        <f>IF(AND(R51=1,N51=Q51),1/S51,0)</f>
        <v/>
      </c>
      <c r="Y51" s="116">
        <f>IF(AND(R51=1,O51=Q51),1/S51,0)</f>
        <v/>
      </c>
      <c r="Z51" s="116">
        <f>IF(AND(R51=1,P51=Q51),1/S51,0)</f>
        <v/>
      </c>
      <c r="AA51" s="185" t="n"/>
      <c r="AB51" s="185" t="n"/>
    </row>
    <row r="52" ht="21" customHeight="1">
      <c r="A52" s="176" t="n">
        <v>74</v>
      </c>
      <c r="B52" s="107" t="n">
        <v>25</v>
      </c>
      <c r="C52" s="107" t="n">
        <v>25</v>
      </c>
      <c r="D52" s="107" t="n">
        <v>25</v>
      </c>
      <c r="E52" s="107" t="n">
        <v>25</v>
      </c>
      <c r="F52" s="107" t="n">
        <v>25</v>
      </c>
      <c r="G52" s="108" t="n">
        <v>25</v>
      </c>
      <c r="H52" s="168">
        <f>MAX(B52:G52)</f>
        <v/>
      </c>
      <c r="J52" s="154" t="n">
        <v>0</v>
      </c>
      <c r="K52" s="115">
        <f>B52-$K$1</f>
        <v/>
      </c>
      <c r="L52" s="115">
        <f>C52-$K$1</f>
        <v/>
      </c>
      <c r="M52" s="115">
        <f>D52-$K$1</f>
        <v/>
      </c>
      <c r="N52" s="115">
        <f>E52-$K$1</f>
        <v/>
      </c>
      <c r="O52" s="115">
        <f>F52-$K$1</f>
        <v/>
      </c>
      <c r="P52" s="155">
        <f>G52-$K$1</f>
        <v/>
      </c>
      <c r="Q52" s="179">
        <f>MAX(J52:P52)</f>
        <v/>
      </c>
      <c r="R52" s="160">
        <f>IF(MAX(K52:P52)&gt;=0,1,0)</f>
        <v/>
      </c>
      <c r="S52" s="117">
        <f>IF(R52=1,COUNTIF(K52:P52,Q52),0)</f>
        <v/>
      </c>
      <c r="U52" s="116">
        <f>IF(AND(R52=1,K52=Q52),1/S52,0)</f>
        <v/>
      </c>
      <c r="V52" s="116">
        <f>IF(AND(R52=1,L52=Q52),1/S52,0)</f>
        <v/>
      </c>
      <c r="W52" s="116">
        <f>IF(AND(R52=1,M52=Q52),1/S52,0)</f>
        <v/>
      </c>
      <c r="X52" s="116">
        <f>IF(AND(R52=1,N52=Q52),1/S52,0)</f>
        <v/>
      </c>
      <c r="Y52" s="116">
        <f>IF(AND(R52=1,O52=Q52),1/S52,0)</f>
        <v/>
      </c>
      <c r="Z52" s="116">
        <f>IF(AND(R52=1,P52=Q52),1/S52,0)</f>
        <v/>
      </c>
      <c r="AA52" s="185" t="n"/>
      <c r="AB52" s="185" t="n"/>
    </row>
    <row r="53" ht="21" customHeight="1">
      <c r="A53" s="176" t="n">
        <v>75</v>
      </c>
      <c r="B53" s="107" t="n">
        <v>75</v>
      </c>
      <c r="C53" s="107" t="n">
        <v>50</v>
      </c>
      <c r="D53" s="107" t="n">
        <v>100</v>
      </c>
      <c r="E53" s="107" t="n">
        <v>50</v>
      </c>
      <c r="F53" s="107" t="n">
        <v>100</v>
      </c>
      <c r="G53" s="108" t="n">
        <v>50</v>
      </c>
      <c r="H53" s="168">
        <f>MAX(B53:G53)</f>
        <v/>
      </c>
      <c r="J53" s="154" t="n">
        <v>0</v>
      </c>
      <c r="K53" s="115">
        <f>B53-$K$1</f>
        <v/>
      </c>
      <c r="L53" s="115">
        <f>C53-$K$1</f>
        <v/>
      </c>
      <c r="M53" s="115">
        <f>D53-$K$1</f>
        <v/>
      </c>
      <c r="N53" s="115">
        <f>E53-$K$1</f>
        <v/>
      </c>
      <c r="O53" s="115">
        <f>F53-$K$1</f>
        <v/>
      </c>
      <c r="P53" s="155">
        <f>G53-$K$1</f>
        <v/>
      </c>
      <c r="Q53" s="179">
        <f>MAX(J53:P53)</f>
        <v/>
      </c>
      <c r="R53" s="160">
        <f>IF(MAX(K53:P53)&gt;=0,1,0)</f>
        <v/>
      </c>
      <c r="S53" s="117">
        <f>IF(R53=1,COUNTIF(K53:P53,Q53),0)</f>
        <v/>
      </c>
      <c r="U53" s="116">
        <f>IF(AND(R53=1,K53=Q53),1/S53,0)</f>
        <v/>
      </c>
      <c r="V53" s="116">
        <f>IF(AND(R53=1,L53=Q53),1/S53,0)</f>
        <v/>
      </c>
      <c r="W53" s="116">
        <f>IF(AND(R53=1,M53=Q53),1/S53,0)</f>
        <v/>
      </c>
      <c r="X53" s="116">
        <f>IF(AND(R53=1,N53=Q53),1/S53,0)</f>
        <v/>
      </c>
      <c r="Y53" s="116">
        <f>IF(AND(R53=1,O53=Q53),1/S53,0)</f>
        <v/>
      </c>
      <c r="Z53" s="116">
        <f>IF(AND(R53=1,P53=Q53),1/S53,0)</f>
        <v/>
      </c>
      <c r="AA53" s="185" t="n"/>
      <c r="AB53" s="185" t="n"/>
    </row>
    <row r="54" ht="21" customHeight="1">
      <c r="A54" s="176" t="n">
        <v>76</v>
      </c>
      <c r="B54" s="107" t="n">
        <v>100</v>
      </c>
      <c r="C54" s="107" t="n">
        <v>75</v>
      </c>
      <c r="D54" s="107" t="n">
        <v>75</v>
      </c>
      <c r="E54" s="107" t="n">
        <v>75</v>
      </c>
      <c r="F54" s="107" t="n">
        <v>125</v>
      </c>
      <c r="G54" s="108" t="n">
        <v>50</v>
      </c>
      <c r="H54" s="168">
        <f>MAX(B54:G54)</f>
        <v/>
      </c>
      <c r="J54" s="154" t="n">
        <v>0</v>
      </c>
      <c r="K54" s="115">
        <f>B54-$K$1</f>
        <v/>
      </c>
      <c r="L54" s="115">
        <f>C54-$K$1</f>
        <v/>
      </c>
      <c r="M54" s="115">
        <f>D54-$K$1</f>
        <v/>
      </c>
      <c r="N54" s="115">
        <f>E54-$K$1</f>
        <v/>
      </c>
      <c r="O54" s="115">
        <f>F54-$K$1</f>
        <v/>
      </c>
      <c r="P54" s="155">
        <f>G54-$K$1</f>
        <v/>
      </c>
      <c r="Q54" s="179">
        <f>MAX(J54:P54)</f>
        <v/>
      </c>
      <c r="R54" s="160">
        <f>IF(MAX(K54:P54)&gt;=0,1,0)</f>
        <v/>
      </c>
      <c r="S54" s="117">
        <f>IF(R54=1,COUNTIF(K54:P54,Q54),0)</f>
        <v/>
      </c>
      <c r="U54" s="116">
        <f>IF(AND(R54=1,K54=Q54),1/S54,0)</f>
        <v/>
      </c>
      <c r="V54" s="116">
        <f>IF(AND(R54=1,L54=Q54),1/S54,0)</f>
        <v/>
      </c>
      <c r="W54" s="116">
        <f>IF(AND(R54=1,M54=Q54),1/S54,0)</f>
        <v/>
      </c>
      <c r="X54" s="116">
        <f>IF(AND(R54=1,N54=Q54),1/S54,0)</f>
        <v/>
      </c>
      <c r="Y54" s="116">
        <f>IF(AND(R54=1,O54=Q54),1/S54,0)</f>
        <v/>
      </c>
      <c r="Z54" s="116">
        <f>IF(AND(R54=1,P54=Q54),1/S54,0)</f>
        <v/>
      </c>
      <c r="AA54" s="185" t="n"/>
      <c r="AB54" s="185" t="n"/>
    </row>
    <row r="55" ht="21" customHeight="1">
      <c r="A55" s="176" t="n">
        <v>78</v>
      </c>
      <c r="B55" s="107" t="n">
        <v>25</v>
      </c>
      <c r="C55" s="107" t="n">
        <v>25</v>
      </c>
      <c r="D55" s="107" t="n">
        <v>25</v>
      </c>
      <c r="E55" s="107" t="n">
        <v>25</v>
      </c>
      <c r="F55" s="107" t="n">
        <v>50</v>
      </c>
      <c r="G55" s="108" t="n">
        <v>25</v>
      </c>
      <c r="H55" s="168">
        <f>MAX(B55:G55)</f>
        <v/>
      </c>
      <c r="J55" s="154" t="n">
        <v>0</v>
      </c>
      <c r="K55" s="115">
        <f>B55-$K$1</f>
        <v/>
      </c>
      <c r="L55" s="115">
        <f>C55-$K$1</f>
        <v/>
      </c>
      <c r="M55" s="115">
        <f>D55-$K$1</f>
        <v/>
      </c>
      <c r="N55" s="115">
        <f>E55-$K$1</f>
        <v/>
      </c>
      <c r="O55" s="115">
        <f>F55-$K$1</f>
        <v/>
      </c>
      <c r="P55" s="155">
        <f>G55-$K$1</f>
        <v/>
      </c>
      <c r="Q55" s="179">
        <f>MAX(J55:P55)</f>
        <v/>
      </c>
      <c r="R55" s="160">
        <f>IF(MAX(K55:P55)&gt;=0,1,0)</f>
        <v/>
      </c>
      <c r="S55" s="117">
        <f>IF(R55=1,COUNTIF(K55:P55,Q55),0)</f>
        <v/>
      </c>
      <c r="U55" s="116">
        <f>IF(AND(R55=1,K55=Q55),1/S55,0)</f>
        <v/>
      </c>
      <c r="V55" s="116">
        <f>IF(AND(R55=1,L55=Q55),1/S55,0)</f>
        <v/>
      </c>
      <c r="W55" s="116">
        <f>IF(AND(R55=1,M55=Q55),1/S55,0)</f>
        <v/>
      </c>
      <c r="X55" s="116">
        <f>IF(AND(R55=1,N55=Q55),1/S55,0)</f>
        <v/>
      </c>
      <c r="Y55" s="116">
        <f>IF(AND(R55=1,O55=Q55),1/S55,0)</f>
        <v/>
      </c>
      <c r="Z55" s="116">
        <f>IF(AND(R55=1,P55=Q55),1/S55,0)</f>
        <v/>
      </c>
      <c r="AA55" s="185" t="n"/>
      <c r="AB55" s="185" t="n"/>
    </row>
    <row r="56" ht="21" customHeight="1">
      <c r="A56" s="176" t="n">
        <v>79</v>
      </c>
      <c r="B56" s="107" t="n">
        <v>125</v>
      </c>
      <c r="C56" s="107" t="n">
        <v>125</v>
      </c>
      <c r="D56" s="107" t="n">
        <v>125</v>
      </c>
      <c r="E56" s="107" t="n">
        <v>125</v>
      </c>
      <c r="F56" s="107" t="n">
        <v>125</v>
      </c>
      <c r="G56" s="108" t="n">
        <v>125</v>
      </c>
      <c r="H56" s="168">
        <f>MAX(B56:G56)</f>
        <v/>
      </c>
      <c r="J56" s="154" t="n">
        <v>0</v>
      </c>
      <c r="K56" s="115">
        <f>B56-$K$1</f>
        <v/>
      </c>
      <c r="L56" s="115">
        <f>C56-$K$1</f>
        <v/>
      </c>
      <c r="M56" s="115">
        <f>D56-$K$1</f>
        <v/>
      </c>
      <c r="N56" s="115">
        <f>E56-$K$1</f>
        <v/>
      </c>
      <c r="O56" s="115">
        <f>F56-$K$1</f>
        <v/>
      </c>
      <c r="P56" s="155">
        <f>G56-$K$1</f>
        <v/>
      </c>
      <c r="Q56" s="179">
        <f>MAX(J56:P56)</f>
        <v/>
      </c>
      <c r="R56" s="160">
        <f>IF(MAX(K56:P56)&gt;=0,1,0)</f>
        <v/>
      </c>
      <c r="S56" s="117">
        <f>IF(R56=1,COUNTIF(K56:P56,Q56),0)</f>
        <v/>
      </c>
      <c r="U56" s="116">
        <f>IF(AND(R56=1,K56=Q56),1/S56,0)</f>
        <v/>
      </c>
      <c r="V56" s="116">
        <f>IF(AND(R56=1,L56=Q56),1/S56,0)</f>
        <v/>
      </c>
      <c r="W56" s="116">
        <f>IF(AND(R56=1,M56=Q56),1/S56,0)</f>
        <v/>
      </c>
      <c r="X56" s="116">
        <f>IF(AND(R56=1,N56=Q56),1/S56,0)</f>
        <v/>
      </c>
      <c r="Y56" s="116">
        <f>IF(AND(R56=1,O56=Q56),1/S56,0)</f>
        <v/>
      </c>
      <c r="Z56" s="116">
        <f>IF(AND(R56=1,P56=Q56),1/S56,0)</f>
        <v/>
      </c>
      <c r="AA56" s="185" t="n"/>
      <c r="AB56" s="185" t="n"/>
    </row>
    <row r="57" ht="21" customHeight="1">
      <c r="A57" s="176" t="n">
        <v>80</v>
      </c>
      <c r="B57" s="107" t="n">
        <v>75</v>
      </c>
      <c r="C57" s="107" t="n">
        <v>75</v>
      </c>
      <c r="D57" s="107" t="n">
        <v>75</v>
      </c>
      <c r="E57" s="107" t="n">
        <v>75</v>
      </c>
      <c r="F57" s="107" t="n">
        <v>75</v>
      </c>
      <c r="G57" s="108" t="n">
        <v>75</v>
      </c>
      <c r="H57" s="168">
        <f>MAX(B57:G57)</f>
        <v/>
      </c>
      <c r="J57" s="154" t="n">
        <v>0</v>
      </c>
      <c r="K57" s="115">
        <f>B57-$K$1</f>
        <v/>
      </c>
      <c r="L57" s="115">
        <f>C57-$K$1</f>
        <v/>
      </c>
      <c r="M57" s="115">
        <f>D57-$K$1</f>
        <v/>
      </c>
      <c r="N57" s="115">
        <f>E57-$K$1</f>
        <v/>
      </c>
      <c r="O57" s="115">
        <f>F57-$K$1</f>
        <v/>
      </c>
      <c r="P57" s="155">
        <f>G57-$K$1</f>
        <v/>
      </c>
      <c r="Q57" s="179">
        <f>MAX(J57:P57)</f>
        <v/>
      </c>
      <c r="R57" s="160">
        <f>IF(MAX(K57:P57)&gt;=0,1,0)</f>
        <v/>
      </c>
      <c r="S57" s="117">
        <f>IF(R57=1,COUNTIF(K57:P57,Q57),0)</f>
        <v/>
      </c>
      <c r="U57" s="116">
        <f>IF(AND(R57=1,K57=Q57),1/S57,0)</f>
        <v/>
      </c>
      <c r="V57" s="116">
        <f>IF(AND(R57=1,L57=Q57),1/S57,0)</f>
        <v/>
      </c>
      <c r="W57" s="116">
        <f>IF(AND(R57=1,M57=Q57),1/S57,0)</f>
        <v/>
      </c>
      <c r="X57" s="116">
        <f>IF(AND(R57=1,N57=Q57),1/S57,0)</f>
        <v/>
      </c>
      <c r="Y57" s="116">
        <f>IF(AND(R57=1,O57=Q57),1/S57,0)</f>
        <v/>
      </c>
      <c r="Z57" s="116">
        <f>IF(AND(R57=1,P57=Q57),1/S57,0)</f>
        <v/>
      </c>
      <c r="AA57" s="185" t="n"/>
      <c r="AB57" s="185" t="n"/>
    </row>
    <row r="58" ht="21" customHeight="1">
      <c r="A58" s="176" t="n">
        <v>81</v>
      </c>
      <c r="B58" s="107" t="n">
        <v>100</v>
      </c>
      <c r="C58" s="107" t="n">
        <v>100</v>
      </c>
      <c r="D58" s="107" t="n">
        <v>100</v>
      </c>
      <c r="E58" s="107" t="n">
        <v>100</v>
      </c>
      <c r="F58" s="107" t="n">
        <v>125</v>
      </c>
      <c r="G58" s="108" t="n">
        <v>100</v>
      </c>
      <c r="H58" s="168">
        <f>MAX(B58:G58)</f>
        <v/>
      </c>
      <c r="J58" s="154" t="n">
        <v>0</v>
      </c>
      <c r="K58" s="115">
        <f>B58-$K$1</f>
        <v/>
      </c>
      <c r="L58" s="115">
        <f>C58-$K$1</f>
        <v/>
      </c>
      <c r="M58" s="115">
        <f>D58-$K$1</f>
        <v/>
      </c>
      <c r="N58" s="115">
        <f>E58-$K$1</f>
        <v/>
      </c>
      <c r="O58" s="115">
        <f>F58-$K$1</f>
        <v/>
      </c>
      <c r="P58" s="155">
        <f>G58-$K$1</f>
        <v/>
      </c>
      <c r="Q58" s="179">
        <f>MAX(J58:P58)</f>
        <v/>
      </c>
      <c r="R58" s="160">
        <f>IF(MAX(K58:P58)&gt;=0,1,0)</f>
        <v/>
      </c>
      <c r="S58" s="117">
        <f>IF(R58=1,COUNTIF(K58:P58,Q58),0)</f>
        <v/>
      </c>
      <c r="U58" s="116">
        <f>IF(AND(R58=1,K58=Q58),1/S58,0)</f>
        <v/>
      </c>
      <c r="V58" s="116">
        <f>IF(AND(R58=1,L58=Q58),1/S58,0)</f>
        <v/>
      </c>
      <c r="W58" s="116">
        <f>IF(AND(R58=1,M58=Q58),1/S58,0)</f>
        <v/>
      </c>
      <c r="X58" s="116">
        <f>IF(AND(R58=1,N58=Q58),1/S58,0)</f>
        <v/>
      </c>
      <c r="Y58" s="116">
        <f>IF(AND(R58=1,O58=Q58),1/S58,0)</f>
        <v/>
      </c>
      <c r="Z58" s="116">
        <f>IF(AND(R58=1,P58=Q58),1/S58,0)</f>
        <v/>
      </c>
      <c r="AA58" s="185" t="n"/>
      <c r="AB58" s="185" t="n"/>
    </row>
    <row r="59" ht="21" customHeight="1">
      <c r="A59" s="176" t="n">
        <v>82</v>
      </c>
      <c r="B59" s="107" t="n">
        <v>75</v>
      </c>
      <c r="C59" s="107" t="n">
        <v>50</v>
      </c>
      <c r="D59" s="107" t="n">
        <v>75</v>
      </c>
      <c r="E59" s="107" t="n">
        <v>50</v>
      </c>
      <c r="F59" s="107" t="n">
        <v>75</v>
      </c>
      <c r="G59" s="108" t="n">
        <v>75</v>
      </c>
      <c r="H59" s="168">
        <f>MAX(B59:G59)</f>
        <v/>
      </c>
      <c r="J59" s="154" t="n">
        <v>0</v>
      </c>
      <c r="K59" s="115">
        <f>B59-$K$1</f>
        <v/>
      </c>
      <c r="L59" s="115">
        <f>C59-$K$1</f>
        <v/>
      </c>
      <c r="M59" s="115">
        <f>D59-$K$1</f>
        <v/>
      </c>
      <c r="N59" s="115">
        <f>E59-$K$1</f>
        <v/>
      </c>
      <c r="O59" s="115">
        <f>F59-$K$1</f>
        <v/>
      </c>
      <c r="P59" s="155">
        <f>G59-$K$1</f>
        <v/>
      </c>
      <c r="Q59" s="179">
        <f>MAX(J59:P59)</f>
        <v/>
      </c>
      <c r="R59" s="160">
        <f>IF(MAX(K59:P59)&gt;=0,1,0)</f>
        <v/>
      </c>
      <c r="S59" s="117">
        <f>IF(R59=1,COUNTIF(K59:P59,Q59),0)</f>
        <v/>
      </c>
      <c r="U59" s="116">
        <f>IF(AND(R59=1,K59=Q59),1/S59,0)</f>
        <v/>
      </c>
      <c r="V59" s="116">
        <f>IF(AND(R59=1,L59=Q59),1/S59,0)</f>
        <v/>
      </c>
      <c r="W59" s="116">
        <f>IF(AND(R59=1,M59=Q59),1/S59,0)</f>
        <v/>
      </c>
      <c r="X59" s="116">
        <f>IF(AND(R59=1,N59=Q59),1/S59,0)</f>
        <v/>
      </c>
      <c r="Y59" s="116">
        <f>IF(AND(R59=1,O59=Q59),1/S59,0)</f>
        <v/>
      </c>
      <c r="Z59" s="116">
        <f>IF(AND(R59=1,P59=Q59),1/S59,0)</f>
        <v/>
      </c>
      <c r="AA59" s="185" t="n"/>
      <c r="AB59" s="185" t="n"/>
    </row>
    <row r="60" ht="21" customHeight="1">
      <c r="A60" s="176" t="n">
        <v>84</v>
      </c>
      <c r="B60" s="107" t="n">
        <v>25</v>
      </c>
      <c r="C60" s="107" t="n">
        <v>25</v>
      </c>
      <c r="D60" s="107" t="n">
        <v>25</v>
      </c>
      <c r="E60" s="107" t="n">
        <v>25</v>
      </c>
      <c r="F60" s="107" t="n">
        <v>25</v>
      </c>
      <c r="G60" s="108" t="n">
        <v>25</v>
      </c>
      <c r="H60" s="168">
        <f>MAX(B60:G60)</f>
        <v/>
      </c>
      <c r="J60" s="154" t="n">
        <v>0</v>
      </c>
      <c r="K60" s="115">
        <f>B60-$K$1</f>
        <v/>
      </c>
      <c r="L60" s="115">
        <f>C60-$K$1</f>
        <v/>
      </c>
      <c r="M60" s="115">
        <f>D60-$K$1</f>
        <v/>
      </c>
      <c r="N60" s="115">
        <f>E60-$K$1</f>
        <v/>
      </c>
      <c r="O60" s="115">
        <f>F60-$K$1</f>
        <v/>
      </c>
      <c r="P60" s="155">
        <f>G60-$K$1</f>
        <v/>
      </c>
      <c r="Q60" s="179">
        <f>MAX(J60:P60)</f>
        <v/>
      </c>
      <c r="R60" s="160">
        <f>IF(MAX(K60:P60)&gt;=0,1,0)</f>
        <v/>
      </c>
      <c r="S60" s="117">
        <f>IF(R60=1,COUNTIF(K60:P60,Q60),0)</f>
        <v/>
      </c>
      <c r="U60" s="116">
        <f>IF(AND(R60=1,K60=Q60),1/S60,0)</f>
        <v/>
      </c>
      <c r="V60" s="116">
        <f>IF(AND(R60=1,L60=Q60),1/S60,0)</f>
        <v/>
      </c>
      <c r="W60" s="116">
        <f>IF(AND(R60=1,M60=Q60),1/S60,0)</f>
        <v/>
      </c>
      <c r="X60" s="116">
        <f>IF(AND(R60=1,N60=Q60),1/S60,0)</f>
        <v/>
      </c>
      <c r="Y60" s="116">
        <f>IF(AND(R60=1,O60=Q60),1/S60,0)</f>
        <v/>
      </c>
      <c r="Z60" s="116">
        <f>IF(AND(R60=1,P60=Q60),1/S60,0)</f>
        <v/>
      </c>
      <c r="AA60" s="185" t="n"/>
      <c r="AB60" s="185" t="n"/>
    </row>
    <row r="61" ht="21" customHeight="1">
      <c r="A61" s="176" t="n">
        <v>85</v>
      </c>
      <c r="B61" s="107" t="n">
        <v>75</v>
      </c>
      <c r="C61" s="107" t="n">
        <v>50</v>
      </c>
      <c r="D61" s="107" t="n">
        <v>50</v>
      </c>
      <c r="E61" s="107" t="n">
        <v>50</v>
      </c>
      <c r="F61" s="107" t="n">
        <v>75</v>
      </c>
      <c r="G61" s="108" t="n">
        <v>25</v>
      </c>
      <c r="H61" s="168">
        <f>MAX(B61:G61)</f>
        <v/>
      </c>
      <c r="J61" s="154" t="n">
        <v>0</v>
      </c>
      <c r="K61" s="115">
        <f>B61-$K$1</f>
        <v/>
      </c>
      <c r="L61" s="115">
        <f>C61-$K$1</f>
        <v/>
      </c>
      <c r="M61" s="115">
        <f>D61-$K$1</f>
        <v/>
      </c>
      <c r="N61" s="115">
        <f>E61-$K$1</f>
        <v/>
      </c>
      <c r="O61" s="115">
        <f>F61-$K$1</f>
        <v/>
      </c>
      <c r="P61" s="155">
        <f>G61-$K$1</f>
        <v/>
      </c>
      <c r="Q61" s="179">
        <f>MAX(J61:P61)</f>
        <v/>
      </c>
      <c r="R61" s="160">
        <f>IF(MAX(K61:P61)&gt;=0,1,0)</f>
        <v/>
      </c>
      <c r="S61" s="117">
        <f>IF(R61=1,COUNTIF(K61:P61,Q61),0)</f>
        <v/>
      </c>
      <c r="U61" s="116">
        <f>IF(AND(R61=1,K61=Q61),1/S61,0)</f>
        <v/>
      </c>
      <c r="V61" s="116">
        <f>IF(AND(R61=1,L61=Q61),1/S61,0)</f>
        <v/>
      </c>
      <c r="W61" s="116">
        <f>IF(AND(R61=1,M61=Q61),1/S61,0)</f>
        <v/>
      </c>
      <c r="X61" s="116">
        <f>IF(AND(R61=1,N61=Q61),1/S61,0)</f>
        <v/>
      </c>
      <c r="Y61" s="116">
        <f>IF(AND(R61=1,O61=Q61),1/S61,0)</f>
        <v/>
      </c>
      <c r="Z61" s="116">
        <f>IF(AND(R61=1,P61=Q61),1/S61,0)</f>
        <v/>
      </c>
      <c r="AA61" s="185" t="n"/>
      <c r="AB61" s="185" t="n"/>
    </row>
    <row r="62" ht="21" customHeight="1">
      <c r="A62" s="176" t="n">
        <v>86</v>
      </c>
      <c r="B62" s="107" t="n">
        <v>25</v>
      </c>
      <c r="C62" s="107" t="n">
        <v>25</v>
      </c>
      <c r="D62" s="107" t="n">
        <v>25</v>
      </c>
      <c r="E62" s="107" t="n">
        <v>25</v>
      </c>
      <c r="F62" s="107" t="n">
        <v>75</v>
      </c>
      <c r="G62" s="108" t="n">
        <v>25</v>
      </c>
      <c r="H62" s="168">
        <f>MAX(B62:G62)</f>
        <v/>
      </c>
      <c r="J62" s="154" t="n">
        <v>0</v>
      </c>
      <c r="K62" s="115">
        <f>B62-$K$1</f>
        <v/>
      </c>
      <c r="L62" s="115">
        <f>C62-$K$1</f>
        <v/>
      </c>
      <c r="M62" s="115">
        <f>D62-$K$1</f>
        <v/>
      </c>
      <c r="N62" s="115">
        <f>E62-$K$1</f>
        <v/>
      </c>
      <c r="O62" s="115">
        <f>F62-$K$1</f>
        <v/>
      </c>
      <c r="P62" s="155">
        <f>G62-$K$1</f>
        <v/>
      </c>
      <c r="Q62" s="179">
        <f>MAX(J62:P62)</f>
        <v/>
      </c>
      <c r="R62" s="160">
        <f>IF(MAX(K62:P62)&gt;=0,1,0)</f>
        <v/>
      </c>
      <c r="S62" s="117">
        <f>IF(R62=1,COUNTIF(K62:P62,Q62),0)</f>
        <v/>
      </c>
      <c r="U62" s="116">
        <f>IF(AND(R62=1,K62=Q62),1/S62,0)</f>
        <v/>
      </c>
      <c r="V62" s="116">
        <f>IF(AND(R62=1,L62=Q62),1/S62,0)</f>
        <v/>
      </c>
      <c r="W62" s="116">
        <f>IF(AND(R62=1,M62=Q62),1/S62,0)</f>
        <v/>
      </c>
      <c r="X62" s="116">
        <f>IF(AND(R62=1,N62=Q62),1/S62,0)</f>
        <v/>
      </c>
      <c r="Y62" s="116">
        <f>IF(AND(R62=1,O62=Q62),1/S62,0)</f>
        <v/>
      </c>
      <c r="Z62" s="116">
        <f>IF(AND(R62=1,P62=Q62),1/S62,0)</f>
        <v/>
      </c>
      <c r="AA62" s="185" t="n"/>
      <c r="AB62" s="185" t="n"/>
    </row>
    <row r="63" ht="21" customHeight="1">
      <c r="A63" s="176" t="n">
        <v>87</v>
      </c>
      <c r="B63" s="107" t="n">
        <v>75</v>
      </c>
      <c r="C63" s="107" t="n">
        <v>50</v>
      </c>
      <c r="D63" s="107" t="n">
        <v>50</v>
      </c>
      <c r="E63" s="107" t="n">
        <v>50</v>
      </c>
      <c r="F63" s="107" t="n">
        <v>75</v>
      </c>
      <c r="G63" s="108" t="n">
        <v>50</v>
      </c>
      <c r="H63" s="168">
        <f>MAX(B63:G63)</f>
        <v/>
      </c>
      <c r="J63" s="154" t="n">
        <v>0</v>
      </c>
      <c r="K63" s="115">
        <f>B63-$K$1</f>
        <v/>
      </c>
      <c r="L63" s="115">
        <f>C63-$K$1</f>
        <v/>
      </c>
      <c r="M63" s="115">
        <f>D63-$K$1</f>
        <v/>
      </c>
      <c r="N63" s="115">
        <f>E63-$K$1</f>
        <v/>
      </c>
      <c r="O63" s="115">
        <f>F63-$K$1</f>
        <v/>
      </c>
      <c r="P63" s="155">
        <f>G63-$K$1</f>
        <v/>
      </c>
      <c r="Q63" s="179">
        <f>MAX(J63:P63)</f>
        <v/>
      </c>
      <c r="R63" s="160">
        <f>IF(MAX(K63:P63)&gt;=0,1,0)</f>
        <v/>
      </c>
      <c r="S63" s="117">
        <f>IF(R63=1,COUNTIF(K63:P63,Q63),0)</f>
        <v/>
      </c>
      <c r="U63" s="116">
        <f>IF(AND(R63=1,K63=Q63),1/S63,0)</f>
        <v/>
      </c>
      <c r="V63" s="116">
        <f>IF(AND(R63=1,L63=Q63),1/S63,0)</f>
        <v/>
      </c>
      <c r="W63" s="116">
        <f>IF(AND(R63=1,M63=Q63),1/S63,0)</f>
        <v/>
      </c>
      <c r="X63" s="116">
        <f>IF(AND(R63=1,N63=Q63),1/S63,0)</f>
        <v/>
      </c>
      <c r="Y63" s="116">
        <f>IF(AND(R63=1,O63=Q63),1/S63,0)</f>
        <v/>
      </c>
      <c r="Z63" s="116">
        <f>IF(AND(R63=1,P63=Q63),1/S63,0)</f>
        <v/>
      </c>
      <c r="AA63" s="185" t="n"/>
      <c r="AB63" s="185" t="n"/>
    </row>
    <row r="64" ht="21" customHeight="1">
      <c r="A64" s="176" t="n">
        <v>88</v>
      </c>
      <c r="B64" s="107" t="n">
        <v>75</v>
      </c>
      <c r="C64" s="107" t="n">
        <v>75</v>
      </c>
      <c r="D64" s="107" t="n">
        <v>100</v>
      </c>
      <c r="E64" s="107" t="n">
        <v>75</v>
      </c>
      <c r="F64" s="107" t="n">
        <v>75</v>
      </c>
      <c r="G64" s="108" t="n">
        <v>25</v>
      </c>
      <c r="H64" s="168">
        <f>MAX(B64:G64)</f>
        <v/>
      </c>
      <c r="J64" s="154" t="n">
        <v>0</v>
      </c>
      <c r="K64" s="115">
        <f>B64-$K$1</f>
        <v/>
      </c>
      <c r="L64" s="115">
        <f>C64-$K$1</f>
        <v/>
      </c>
      <c r="M64" s="115">
        <f>D64-$K$1</f>
        <v/>
      </c>
      <c r="N64" s="115">
        <f>E64-$K$1</f>
        <v/>
      </c>
      <c r="O64" s="115">
        <f>F64-$K$1</f>
        <v/>
      </c>
      <c r="P64" s="155">
        <f>G64-$K$1</f>
        <v/>
      </c>
      <c r="Q64" s="179">
        <f>MAX(J64:P64)</f>
        <v/>
      </c>
      <c r="R64" s="160">
        <f>IF(MAX(K64:P64)&gt;=0,1,0)</f>
        <v/>
      </c>
      <c r="S64" s="117">
        <f>IF(R64=1,COUNTIF(K64:P64,Q64),0)</f>
        <v/>
      </c>
      <c r="U64" s="116">
        <f>IF(AND(R64=1,K64=Q64),1/S64,0)</f>
        <v/>
      </c>
      <c r="V64" s="116">
        <f>IF(AND(R64=1,L64=Q64),1/S64,0)</f>
        <v/>
      </c>
      <c r="W64" s="116">
        <f>IF(AND(R64=1,M64=Q64),1/S64,0)</f>
        <v/>
      </c>
      <c r="X64" s="116">
        <f>IF(AND(R64=1,N64=Q64),1/S64,0)</f>
        <v/>
      </c>
      <c r="Y64" s="116">
        <f>IF(AND(R64=1,O64=Q64),1/S64,0)</f>
        <v/>
      </c>
      <c r="Z64" s="116">
        <f>IF(AND(R64=1,P64=Q64),1/S64,0)</f>
        <v/>
      </c>
      <c r="AA64" s="185" t="n"/>
      <c r="AB64" s="185" t="n"/>
    </row>
    <row r="65" ht="21" customHeight="1">
      <c r="A65" s="176" t="n">
        <v>89</v>
      </c>
      <c r="B65" s="107" t="n">
        <v>25</v>
      </c>
      <c r="C65" s="107" t="n">
        <v>25</v>
      </c>
      <c r="D65" s="107" t="n">
        <v>25</v>
      </c>
      <c r="E65" s="107" t="n">
        <v>25</v>
      </c>
      <c r="F65" s="107" t="n">
        <v>25</v>
      </c>
      <c r="G65" s="108" t="n">
        <v>25</v>
      </c>
      <c r="H65" s="168">
        <f>MAX(B65:G65)</f>
        <v/>
      </c>
      <c r="J65" s="154" t="n">
        <v>0</v>
      </c>
      <c r="K65" s="115">
        <f>B65-$K$1</f>
        <v/>
      </c>
      <c r="L65" s="115">
        <f>C65-$K$1</f>
        <v/>
      </c>
      <c r="M65" s="115">
        <f>D65-$K$1</f>
        <v/>
      </c>
      <c r="N65" s="115">
        <f>E65-$K$1</f>
        <v/>
      </c>
      <c r="O65" s="115">
        <f>F65-$K$1</f>
        <v/>
      </c>
      <c r="P65" s="155">
        <f>G65-$K$1</f>
        <v/>
      </c>
      <c r="Q65" s="179">
        <f>MAX(J65:P65)</f>
        <v/>
      </c>
      <c r="R65" s="160">
        <f>IF(MAX(K65:P65)&gt;=0,1,0)</f>
        <v/>
      </c>
      <c r="S65" s="117">
        <f>IF(R65=1,COUNTIF(K65:P65,Q65),0)</f>
        <v/>
      </c>
      <c r="U65" s="116">
        <f>IF(AND(R65=1,K65=Q65),1/S65,0)</f>
        <v/>
      </c>
      <c r="V65" s="116">
        <f>IF(AND(R65=1,L65=Q65),1/S65,0)</f>
        <v/>
      </c>
      <c r="W65" s="116">
        <f>IF(AND(R65=1,M65=Q65),1/S65,0)</f>
        <v/>
      </c>
      <c r="X65" s="116">
        <f>IF(AND(R65=1,N65=Q65),1/S65,0)</f>
        <v/>
      </c>
      <c r="Y65" s="116">
        <f>IF(AND(R65=1,O65=Q65),1/S65,0)</f>
        <v/>
      </c>
      <c r="Z65" s="116">
        <f>IF(AND(R65=1,P65=Q65),1/S65,0)</f>
        <v/>
      </c>
      <c r="AA65" s="185" t="n"/>
      <c r="AB65" s="185" t="n"/>
    </row>
    <row r="66" ht="21" customHeight="1">
      <c r="A66" s="176" t="n">
        <v>92</v>
      </c>
      <c r="B66" s="107" t="n">
        <v>100</v>
      </c>
      <c r="C66" s="107" t="n">
        <v>100</v>
      </c>
      <c r="D66" s="107" t="n">
        <v>100</v>
      </c>
      <c r="E66" s="107" t="n">
        <v>100</v>
      </c>
      <c r="F66" s="107" t="n">
        <v>100</v>
      </c>
      <c r="G66" s="108" t="n">
        <v>100</v>
      </c>
      <c r="H66" s="168">
        <f>MAX(B66:G66)</f>
        <v/>
      </c>
      <c r="J66" s="154" t="n">
        <v>0</v>
      </c>
      <c r="K66" s="115">
        <f>B66-$K$1</f>
        <v/>
      </c>
      <c r="L66" s="115">
        <f>C66-$K$1</f>
        <v/>
      </c>
      <c r="M66" s="115">
        <f>D66-$K$1</f>
        <v/>
      </c>
      <c r="N66" s="115">
        <f>E66-$K$1</f>
        <v/>
      </c>
      <c r="O66" s="115">
        <f>F66-$K$1</f>
        <v/>
      </c>
      <c r="P66" s="155">
        <f>G66-$K$1</f>
        <v/>
      </c>
      <c r="Q66" s="179">
        <f>MAX(J66:P66)</f>
        <v/>
      </c>
      <c r="R66" s="160">
        <f>IF(MAX(K66:P66)&gt;=0,1,0)</f>
        <v/>
      </c>
      <c r="S66" s="117">
        <f>IF(R66=1,COUNTIF(K66:P66,Q66),0)</f>
        <v/>
      </c>
      <c r="U66" s="116">
        <f>IF(AND(R66=1,K66=Q66),1/S66,0)</f>
        <v/>
      </c>
      <c r="V66" s="116">
        <f>IF(AND(R66=1,L66=Q66),1/S66,0)</f>
        <v/>
      </c>
      <c r="W66" s="116">
        <f>IF(AND(R66=1,M66=Q66),1/S66,0)</f>
        <v/>
      </c>
      <c r="X66" s="116">
        <f>IF(AND(R66=1,N66=Q66),1/S66,0)</f>
        <v/>
      </c>
      <c r="Y66" s="116">
        <f>IF(AND(R66=1,O66=Q66),1/S66,0)</f>
        <v/>
      </c>
      <c r="Z66" s="116">
        <f>IF(AND(R66=1,P66=Q66),1/S66,0)</f>
        <v/>
      </c>
      <c r="AA66" s="185" t="n"/>
      <c r="AB66" s="185" t="n"/>
    </row>
    <row r="67" ht="21" customHeight="1">
      <c r="A67" s="176" t="n">
        <v>93</v>
      </c>
      <c r="B67" s="107" t="n">
        <v>100</v>
      </c>
      <c r="C67" s="107" t="n">
        <v>100</v>
      </c>
      <c r="D67" s="107" t="n">
        <v>100</v>
      </c>
      <c r="E67" s="107" t="n">
        <v>100</v>
      </c>
      <c r="F67" s="107" t="n">
        <v>100</v>
      </c>
      <c r="G67" s="108" t="n">
        <v>100</v>
      </c>
      <c r="H67" s="168">
        <f>MAX(B67:G67)</f>
        <v/>
      </c>
      <c r="J67" s="154" t="n">
        <v>0</v>
      </c>
      <c r="K67" s="115">
        <f>B67-$K$1</f>
        <v/>
      </c>
      <c r="L67" s="115">
        <f>C67-$K$1</f>
        <v/>
      </c>
      <c r="M67" s="115">
        <f>D67-$K$1</f>
        <v/>
      </c>
      <c r="N67" s="115">
        <f>E67-$K$1</f>
        <v/>
      </c>
      <c r="O67" s="115">
        <f>F67-$K$1</f>
        <v/>
      </c>
      <c r="P67" s="155">
        <f>G67-$K$1</f>
        <v/>
      </c>
      <c r="Q67" s="179">
        <f>MAX(J67:P67)</f>
        <v/>
      </c>
      <c r="R67" s="160">
        <f>IF(MAX(K67:P67)&gt;=0,1,0)</f>
        <v/>
      </c>
      <c r="S67" s="117">
        <f>IF(R67=1,COUNTIF(K67:P67,Q67),0)</f>
        <v/>
      </c>
      <c r="U67" s="116">
        <f>IF(AND(R67=1,K67=Q67),1/S67,0)</f>
        <v/>
      </c>
      <c r="V67" s="116">
        <f>IF(AND(R67=1,L67=Q67),1/S67,0)</f>
        <v/>
      </c>
      <c r="W67" s="116">
        <f>IF(AND(R67=1,M67=Q67),1/S67,0)</f>
        <v/>
      </c>
      <c r="X67" s="116">
        <f>IF(AND(R67=1,N67=Q67),1/S67,0)</f>
        <v/>
      </c>
      <c r="Y67" s="116">
        <f>IF(AND(R67=1,O67=Q67),1/S67,0)</f>
        <v/>
      </c>
      <c r="Z67" s="116">
        <f>IF(AND(R67=1,P67=Q67),1/S67,0)</f>
        <v/>
      </c>
      <c r="AA67" s="185" t="n"/>
      <c r="AB67" s="185" t="n"/>
    </row>
    <row r="68" ht="21" customHeight="1">
      <c r="A68" s="176" t="n">
        <v>94</v>
      </c>
      <c r="B68" s="107" t="n">
        <v>100</v>
      </c>
      <c r="C68" s="107" t="n">
        <v>50</v>
      </c>
      <c r="D68" s="107" t="n">
        <v>25</v>
      </c>
      <c r="E68" s="107" t="n">
        <v>25</v>
      </c>
      <c r="F68" s="107" t="n">
        <v>25</v>
      </c>
      <c r="G68" s="108" t="n">
        <v>25</v>
      </c>
      <c r="H68" s="168">
        <f>MAX(B68:G68)</f>
        <v/>
      </c>
      <c r="J68" s="154" t="n">
        <v>0</v>
      </c>
      <c r="K68" s="115">
        <f>B68-$K$1</f>
        <v/>
      </c>
      <c r="L68" s="115">
        <f>C68-$K$1</f>
        <v/>
      </c>
      <c r="M68" s="115">
        <f>D68-$K$1</f>
        <v/>
      </c>
      <c r="N68" s="115">
        <f>E68-$K$1</f>
        <v/>
      </c>
      <c r="O68" s="115">
        <f>F68-$K$1</f>
        <v/>
      </c>
      <c r="P68" s="155">
        <f>G68-$K$1</f>
        <v/>
      </c>
      <c r="Q68" s="179">
        <f>MAX(J68:P68)</f>
        <v/>
      </c>
      <c r="R68" s="160">
        <f>IF(MAX(K68:P68)&gt;=0,1,0)</f>
        <v/>
      </c>
      <c r="S68" s="117">
        <f>IF(R68=1,COUNTIF(K68:P68,Q68),0)</f>
        <v/>
      </c>
      <c r="U68" s="116">
        <f>IF(AND(R68=1,K68=Q68),1/S68,0)</f>
        <v/>
      </c>
      <c r="V68" s="116">
        <f>IF(AND(R68=1,L68=Q68),1/S68,0)</f>
        <v/>
      </c>
      <c r="W68" s="116">
        <f>IF(AND(R68=1,M68=Q68),1/S68,0)</f>
        <v/>
      </c>
      <c r="X68" s="116">
        <f>IF(AND(R68=1,N68=Q68),1/S68,0)</f>
        <v/>
      </c>
      <c r="Y68" s="116">
        <f>IF(AND(R68=1,O68=Q68),1/S68,0)</f>
        <v/>
      </c>
      <c r="Z68" s="116">
        <f>IF(AND(R68=1,P68=Q68),1/S68,0)</f>
        <v/>
      </c>
      <c r="AA68" s="185" t="n"/>
      <c r="AB68" s="185" t="n"/>
    </row>
    <row r="69" ht="21" customHeight="1">
      <c r="A69" s="176" t="n">
        <v>95</v>
      </c>
      <c r="B69" s="107" t="n">
        <v>100</v>
      </c>
      <c r="C69" s="107" t="n">
        <v>100</v>
      </c>
      <c r="D69" s="107" t="n">
        <v>100</v>
      </c>
      <c r="E69" s="107" t="n">
        <v>100</v>
      </c>
      <c r="F69" s="107" t="n">
        <v>100</v>
      </c>
      <c r="G69" s="108" t="n">
        <v>100</v>
      </c>
      <c r="H69" s="168">
        <f>MAX(B69:G69)</f>
        <v/>
      </c>
      <c r="J69" s="154" t="n">
        <v>0</v>
      </c>
      <c r="K69" s="115">
        <f>B69-$K$1</f>
        <v/>
      </c>
      <c r="L69" s="115">
        <f>C69-$K$1</f>
        <v/>
      </c>
      <c r="M69" s="115">
        <f>D69-$K$1</f>
        <v/>
      </c>
      <c r="N69" s="115">
        <f>E69-$K$1</f>
        <v/>
      </c>
      <c r="O69" s="115">
        <f>F69-$K$1</f>
        <v/>
      </c>
      <c r="P69" s="155">
        <f>G69-$K$1</f>
        <v/>
      </c>
      <c r="Q69" s="179">
        <f>MAX(J69:P69)</f>
        <v/>
      </c>
      <c r="R69" s="160">
        <f>IF(MAX(K69:P69)&gt;=0,1,0)</f>
        <v/>
      </c>
      <c r="S69" s="117">
        <f>IF(R69=1,COUNTIF(K69:P69,Q69),0)</f>
        <v/>
      </c>
      <c r="U69" s="116">
        <f>IF(AND(R69=1,K69=Q69),1/S69,0)</f>
        <v/>
      </c>
      <c r="V69" s="116">
        <f>IF(AND(R69=1,L69=Q69),1/S69,0)</f>
        <v/>
      </c>
      <c r="W69" s="116">
        <f>IF(AND(R69=1,M69=Q69),1/S69,0)</f>
        <v/>
      </c>
      <c r="X69" s="116">
        <f>IF(AND(R69=1,N69=Q69),1/S69,0)</f>
        <v/>
      </c>
      <c r="Y69" s="116">
        <f>IF(AND(R69=1,O69=Q69),1/S69,0)</f>
        <v/>
      </c>
      <c r="Z69" s="116">
        <f>IF(AND(R69=1,P69=Q69),1/S69,0)</f>
        <v/>
      </c>
      <c r="AA69" s="185" t="n"/>
      <c r="AB69" s="185" t="n"/>
    </row>
    <row r="70" ht="21" customHeight="1">
      <c r="A70" s="176" t="n">
        <v>96</v>
      </c>
      <c r="B70" s="107" t="n">
        <v>75</v>
      </c>
      <c r="C70" s="107" t="n">
        <v>75</v>
      </c>
      <c r="D70" s="107" t="n">
        <v>75</v>
      </c>
      <c r="E70" s="107" t="n">
        <v>75</v>
      </c>
      <c r="F70" s="107" t="n">
        <v>75</v>
      </c>
      <c r="G70" s="108" t="n">
        <v>75</v>
      </c>
      <c r="H70" s="168">
        <f>MAX(B70:G70)</f>
        <v/>
      </c>
      <c r="J70" s="154" t="n">
        <v>0</v>
      </c>
      <c r="K70" s="115">
        <f>B70-$K$1</f>
        <v/>
      </c>
      <c r="L70" s="115">
        <f>C70-$K$1</f>
        <v/>
      </c>
      <c r="M70" s="115">
        <f>D70-$K$1</f>
        <v/>
      </c>
      <c r="N70" s="115">
        <f>E70-$K$1</f>
        <v/>
      </c>
      <c r="O70" s="115">
        <f>F70-$K$1</f>
        <v/>
      </c>
      <c r="P70" s="155">
        <f>G70-$K$1</f>
        <v/>
      </c>
      <c r="Q70" s="179">
        <f>MAX(J70:P70)</f>
        <v/>
      </c>
      <c r="R70" s="160">
        <f>IF(MAX(K70:P70)&gt;=0,1,0)</f>
        <v/>
      </c>
      <c r="S70" s="117">
        <f>IF(R70=1,COUNTIF(K70:P70,Q70),0)</f>
        <v/>
      </c>
      <c r="U70" s="116">
        <f>IF(AND(R70=1,K70=Q70),1/S70,0)</f>
        <v/>
      </c>
      <c r="V70" s="116">
        <f>IF(AND(R70=1,L70=Q70),1/S70,0)</f>
        <v/>
      </c>
      <c r="W70" s="116">
        <f>IF(AND(R70=1,M70=Q70),1/S70,0)</f>
        <v/>
      </c>
      <c r="X70" s="116">
        <f>IF(AND(R70=1,N70=Q70),1/S70,0)</f>
        <v/>
      </c>
      <c r="Y70" s="116">
        <f>IF(AND(R70=1,O70=Q70),1/S70,0)</f>
        <v/>
      </c>
      <c r="Z70" s="116">
        <f>IF(AND(R70=1,P70=Q70),1/S70,0)</f>
        <v/>
      </c>
      <c r="AA70" s="185" t="n"/>
      <c r="AB70" s="185" t="n"/>
    </row>
    <row r="71" ht="21" customHeight="1">
      <c r="A71" s="176" t="n">
        <v>97</v>
      </c>
      <c r="B71" s="107" t="n">
        <v>25</v>
      </c>
      <c r="C71" s="107" t="n">
        <v>25</v>
      </c>
      <c r="D71" s="107" t="n">
        <v>25</v>
      </c>
      <c r="E71" s="107" t="n">
        <v>25</v>
      </c>
      <c r="F71" s="107" t="n">
        <v>25</v>
      </c>
      <c r="G71" s="108" t="n">
        <v>100</v>
      </c>
      <c r="H71" s="168">
        <f>MAX(B71:G71)</f>
        <v/>
      </c>
      <c r="J71" s="154" t="n">
        <v>0</v>
      </c>
      <c r="K71" s="115">
        <f>B71-$K$1</f>
        <v/>
      </c>
      <c r="L71" s="115">
        <f>C71-$K$1</f>
        <v/>
      </c>
      <c r="M71" s="115">
        <f>D71-$K$1</f>
        <v/>
      </c>
      <c r="N71" s="115">
        <f>E71-$K$1</f>
        <v/>
      </c>
      <c r="O71" s="115">
        <f>F71-$K$1</f>
        <v/>
      </c>
      <c r="P71" s="155">
        <f>G71-$K$1</f>
        <v/>
      </c>
      <c r="Q71" s="179">
        <f>MAX(J71:P71)</f>
        <v/>
      </c>
      <c r="R71" s="160">
        <f>IF(MAX(K71:P71)&gt;=0,1,0)</f>
        <v/>
      </c>
      <c r="S71" s="117">
        <f>IF(R71=1,COUNTIF(K71:P71,Q71),0)</f>
        <v/>
      </c>
      <c r="U71" s="116">
        <f>IF(AND(R71=1,K71=Q71),1/S71,0)</f>
        <v/>
      </c>
      <c r="V71" s="116">
        <f>IF(AND(R71=1,L71=Q71),1/S71,0)</f>
        <v/>
      </c>
      <c r="W71" s="116">
        <f>IF(AND(R71=1,M71=Q71),1/S71,0)</f>
        <v/>
      </c>
      <c r="X71" s="116">
        <f>IF(AND(R71=1,N71=Q71),1/S71,0)</f>
        <v/>
      </c>
      <c r="Y71" s="116">
        <f>IF(AND(R71=1,O71=Q71),1/S71,0)</f>
        <v/>
      </c>
      <c r="Z71" s="116">
        <f>IF(AND(R71=1,P71=Q71),1/S71,0)</f>
        <v/>
      </c>
      <c r="AA71" s="185" t="n"/>
      <c r="AB71" s="185" t="n"/>
    </row>
    <row r="72" ht="21" customHeight="1">
      <c r="A72" s="176" t="n">
        <v>100</v>
      </c>
      <c r="B72" s="107" t="n">
        <v>100</v>
      </c>
      <c r="C72" s="107" t="n">
        <v>100</v>
      </c>
      <c r="D72" s="107" t="n">
        <v>100</v>
      </c>
      <c r="E72" s="107" t="n">
        <v>100</v>
      </c>
      <c r="F72" s="107" t="n">
        <v>100</v>
      </c>
      <c r="G72" s="108" t="n">
        <v>100</v>
      </c>
      <c r="H72" s="168">
        <f>MAX(B72:G72)</f>
        <v/>
      </c>
      <c r="J72" s="154" t="n">
        <v>0</v>
      </c>
      <c r="K72" s="115">
        <f>B72-$K$1</f>
        <v/>
      </c>
      <c r="L72" s="115">
        <f>C72-$K$1</f>
        <v/>
      </c>
      <c r="M72" s="115">
        <f>D72-$K$1</f>
        <v/>
      </c>
      <c r="N72" s="115">
        <f>E72-$K$1</f>
        <v/>
      </c>
      <c r="O72" s="115">
        <f>F72-$K$1</f>
        <v/>
      </c>
      <c r="P72" s="155">
        <f>G72-$K$1</f>
        <v/>
      </c>
      <c r="Q72" s="179">
        <f>MAX(J72:P72)</f>
        <v/>
      </c>
      <c r="R72" s="160">
        <f>IF(MAX(K72:P72)&gt;=0,1,0)</f>
        <v/>
      </c>
      <c r="S72" s="117">
        <f>IF(R72=1,COUNTIF(K72:P72,Q72),0)</f>
        <v/>
      </c>
      <c r="U72" s="116">
        <f>IF(AND(R72=1,K72=Q72),1/S72,0)</f>
        <v/>
      </c>
      <c r="V72" s="116">
        <f>IF(AND(R72=1,L72=Q72),1/S72,0)</f>
        <v/>
      </c>
      <c r="W72" s="116">
        <f>IF(AND(R72=1,M72=Q72),1/S72,0)</f>
        <v/>
      </c>
      <c r="X72" s="116">
        <f>IF(AND(R72=1,N72=Q72),1/S72,0)</f>
        <v/>
      </c>
      <c r="Y72" s="116">
        <f>IF(AND(R72=1,O72=Q72),1/S72,0)</f>
        <v/>
      </c>
      <c r="Z72" s="116">
        <f>IF(AND(R72=1,P72=Q72),1/S72,0)</f>
        <v/>
      </c>
      <c r="AA72" s="185" t="n"/>
      <c r="AB72" s="185" t="n"/>
    </row>
    <row r="73" ht="21" customHeight="1">
      <c r="A73" s="176" t="n">
        <v>101</v>
      </c>
      <c r="B73" s="107" t="n">
        <v>75</v>
      </c>
      <c r="C73" s="107" t="n">
        <v>75</v>
      </c>
      <c r="D73" s="107" t="n">
        <v>75</v>
      </c>
      <c r="E73" s="107" t="n">
        <v>75</v>
      </c>
      <c r="F73" s="107" t="n">
        <v>75</v>
      </c>
      <c r="G73" s="108" t="n">
        <v>50</v>
      </c>
      <c r="H73" s="168">
        <f>MAX(B73:G73)</f>
        <v/>
      </c>
      <c r="J73" s="154" t="n">
        <v>0</v>
      </c>
      <c r="K73" s="115">
        <f>B73-$K$1</f>
        <v/>
      </c>
      <c r="L73" s="115">
        <f>C73-$K$1</f>
        <v/>
      </c>
      <c r="M73" s="115">
        <f>D73-$K$1</f>
        <v/>
      </c>
      <c r="N73" s="115">
        <f>E73-$K$1</f>
        <v/>
      </c>
      <c r="O73" s="115">
        <f>F73-$K$1</f>
        <v/>
      </c>
      <c r="P73" s="155">
        <f>G73-$K$1</f>
        <v/>
      </c>
      <c r="Q73" s="179">
        <f>MAX(J73:P73)</f>
        <v/>
      </c>
      <c r="R73" s="160">
        <f>IF(MAX(K73:P73)&gt;=0,1,0)</f>
        <v/>
      </c>
      <c r="S73" s="117">
        <f>IF(R73=1,COUNTIF(K73:P73,Q73),0)</f>
        <v/>
      </c>
      <c r="U73" s="116">
        <f>IF(AND(R73=1,K73=Q73),1/S73,0)</f>
        <v/>
      </c>
      <c r="V73" s="116">
        <f>IF(AND(R73=1,L73=Q73),1/S73,0)</f>
        <v/>
      </c>
      <c r="W73" s="116">
        <f>IF(AND(R73=1,M73=Q73),1/S73,0)</f>
        <v/>
      </c>
      <c r="X73" s="116">
        <f>IF(AND(R73=1,N73=Q73),1/S73,0)</f>
        <v/>
      </c>
      <c r="Y73" s="116">
        <f>IF(AND(R73=1,O73=Q73),1/S73,0)</f>
        <v/>
      </c>
      <c r="Z73" s="116">
        <f>IF(AND(R73=1,P73=Q73),1/S73,0)</f>
        <v/>
      </c>
      <c r="AA73" s="185" t="n"/>
      <c r="AB73" s="185" t="n"/>
    </row>
    <row r="74" ht="21" customHeight="1">
      <c r="A74" s="176" t="n">
        <v>102</v>
      </c>
      <c r="B74" s="107" t="n">
        <v>125</v>
      </c>
      <c r="C74" s="107" t="n">
        <v>125</v>
      </c>
      <c r="D74" s="107" t="n">
        <v>125</v>
      </c>
      <c r="E74" s="107" t="n">
        <v>125</v>
      </c>
      <c r="F74" s="107" t="n">
        <v>125</v>
      </c>
      <c r="G74" s="108" t="n">
        <v>125</v>
      </c>
      <c r="H74" s="168">
        <f>MAX(B74:G74)</f>
        <v/>
      </c>
      <c r="J74" s="154" t="n">
        <v>0</v>
      </c>
      <c r="K74" s="115">
        <f>B74-$K$1</f>
        <v/>
      </c>
      <c r="L74" s="115">
        <f>C74-$K$1</f>
        <v/>
      </c>
      <c r="M74" s="115">
        <f>D74-$K$1</f>
        <v/>
      </c>
      <c r="N74" s="115">
        <f>E74-$K$1</f>
        <v/>
      </c>
      <c r="O74" s="115">
        <f>F74-$K$1</f>
        <v/>
      </c>
      <c r="P74" s="155">
        <f>G74-$K$1</f>
        <v/>
      </c>
      <c r="Q74" s="179">
        <f>MAX(J74:P74)</f>
        <v/>
      </c>
      <c r="R74" s="160">
        <f>IF(MAX(K74:P74)&gt;=0,1,0)</f>
        <v/>
      </c>
      <c r="S74" s="117">
        <f>IF(R74=1,COUNTIF(K74:P74,Q74),0)</f>
        <v/>
      </c>
      <c r="U74" s="116">
        <f>IF(AND(R74=1,K74=Q74),1/S74,0)</f>
        <v/>
      </c>
      <c r="V74" s="116">
        <f>IF(AND(R74=1,L74=Q74),1/S74,0)</f>
        <v/>
      </c>
      <c r="W74" s="116">
        <f>IF(AND(R74=1,M74=Q74),1/S74,0)</f>
        <v/>
      </c>
      <c r="X74" s="116">
        <f>IF(AND(R74=1,N74=Q74),1/S74,0)</f>
        <v/>
      </c>
      <c r="Y74" s="116">
        <f>IF(AND(R74=1,O74=Q74),1/S74,0)</f>
        <v/>
      </c>
      <c r="Z74" s="116">
        <f>IF(AND(R74=1,P74=Q74),1/S74,0)</f>
        <v/>
      </c>
      <c r="AA74" s="185" t="n"/>
      <c r="AB74" s="185" t="n"/>
    </row>
    <row r="75" ht="21" customHeight="1">
      <c r="A75" s="176" t="n">
        <v>103</v>
      </c>
      <c r="B75" s="107" t="n">
        <v>75</v>
      </c>
      <c r="C75" s="107" t="n">
        <v>25</v>
      </c>
      <c r="D75" s="107" t="n">
        <v>25</v>
      </c>
      <c r="E75" s="107" t="n">
        <v>25</v>
      </c>
      <c r="F75" s="107" t="n">
        <v>75</v>
      </c>
      <c r="G75" s="108" t="n">
        <v>75</v>
      </c>
      <c r="H75" s="168">
        <f>MAX(B75:G75)</f>
        <v/>
      </c>
      <c r="J75" s="154" t="n">
        <v>0</v>
      </c>
      <c r="K75" s="115">
        <f>B75-$K$1</f>
        <v/>
      </c>
      <c r="L75" s="115">
        <f>C75-$K$1</f>
        <v/>
      </c>
      <c r="M75" s="115">
        <f>D75-$K$1</f>
        <v/>
      </c>
      <c r="N75" s="115">
        <f>E75-$K$1</f>
        <v/>
      </c>
      <c r="O75" s="115">
        <f>F75-$K$1</f>
        <v/>
      </c>
      <c r="P75" s="155">
        <f>G75-$K$1</f>
        <v/>
      </c>
      <c r="Q75" s="179">
        <f>MAX(J75:P75)</f>
        <v/>
      </c>
      <c r="R75" s="160">
        <f>IF(MAX(K75:P75)&gt;=0,1,0)</f>
        <v/>
      </c>
      <c r="S75" s="117">
        <f>IF(R75=1,COUNTIF(K75:P75,Q75),0)</f>
        <v/>
      </c>
      <c r="U75" s="116">
        <f>IF(AND(R75=1,K75=Q75),1/S75,0)</f>
        <v/>
      </c>
      <c r="V75" s="116">
        <f>IF(AND(R75=1,L75=Q75),1/S75,0)</f>
        <v/>
      </c>
      <c r="W75" s="116">
        <f>IF(AND(R75=1,M75=Q75),1/S75,0)</f>
        <v/>
      </c>
      <c r="X75" s="116">
        <f>IF(AND(R75=1,N75=Q75),1/S75,0)</f>
        <v/>
      </c>
      <c r="Y75" s="116">
        <f>IF(AND(R75=1,O75=Q75),1/S75,0)</f>
        <v/>
      </c>
      <c r="Z75" s="116">
        <f>IF(AND(R75=1,P75=Q75),1/S75,0)</f>
        <v/>
      </c>
      <c r="AA75" s="185" t="n"/>
      <c r="AB75" s="185" t="n"/>
    </row>
    <row r="76" ht="21" customHeight="1">
      <c r="A76" s="176" t="n">
        <v>104</v>
      </c>
      <c r="B76" s="107" t="n">
        <v>75</v>
      </c>
      <c r="C76" s="107" t="n">
        <v>75</v>
      </c>
      <c r="D76" s="107" t="n">
        <v>75</v>
      </c>
      <c r="E76" s="107" t="n">
        <v>75</v>
      </c>
      <c r="F76" s="107" t="n">
        <v>75</v>
      </c>
      <c r="G76" s="108" t="n">
        <v>75</v>
      </c>
      <c r="H76" s="168">
        <f>MAX(B76:G76)</f>
        <v/>
      </c>
      <c r="J76" s="154" t="n">
        <v>0</v>
      </c>
      <c r="K76" s="115">
        <f>B76-$K$1</f>
        <v/>
      </c>
      <c r="L76" s="115">
        <f>C76-$K$1</f>
        <v/>
      </c>
      <c r="M76" s="115">
        <f>D76-$K$1</f>
        <v/>
      </c>
      <c r="N76" s="115">
        <f>E76-$K$1</f>
        <v/>
      </c>
      <c r="O76" s="115">
        <f>F76-$K$1</f>
        <v/>
      </c>
      <c r="P76" s="155">
        <f>G76-$K$1</f>
        <v/>
      </c>
      <c r="Q76" s="179">
        <f>MAX(J76:P76)</f>
        <v/>
      </c>
      <c r="R76" s="160">
        <f>IF(MAX(K76:P76)&gt;=0,1,0)</f>
        <v/>
      </c>
      <c r="S76" s="117">
        <f>IF(R76=1,COUNTIF(K76:P76,Q76),0)</f>
        <v/>
      </c>
      <c r="U76" s="116">
        <f>IF(AND(R76=1,K76=Q76),1/S76,0)</f>
        <v/>
      </c>
      <c r="V76" s="116">
        <f>IF(AND(R76=1,L76=Q76),1/S76,0)</f>
        <v/>
      </c>
      <c r="W76" s="116">
        <f>IF(AND(R76=1,M76=Q76),1/S76,0)</f>
        <v/>
      </c>
      <c r="X76" s="116">
        <f>IF(AND(R76=1,N76=Q76),1/S76,0)</f>
        <v/>
      </c>
      <c r="Y76" s="116">
        <f>IF(AND(R76=1,O76=Q76),1/S76,0)</f>
        <v/>
      </c>
      <c r="Z76" s="116">
        <f>IF(AND(R76=1,P76=Q76),1/S76,0)</f>
        <v/>
      </c>
      <c r="AA76" s="185" t="n"/>
      <c r="AB76" s="185" t="n"/>
    </row>
    <row r="77" ht="21" customHeight="1">
      <c r="A77" s="176" t="n">
        <v>105</v>
      </c>
      <c r="B77" s="107" t="n">
        <v>50</v>
      </c>
      <c r="C77" s="107" t="n">
        <v>50</v>
      </c>
      <c r="D77" s="107" t="n">
        <v>50</v>
      </c>
      <c r="E77" s="107" t="n">
        <v>50</v>
      </c>
      <c r="F77" s="107" t="n">
        <v>50</v>
      </c>
      <c r="G77" s="108" t="n">
        <v>50</v>
      </c>
      <c r="H77" s="168">
        <f>MAX(B77:G77)</f>
        <v/>
      </c>
      <c r="J77" s="154" t="n">
        <v>0</v>
      </c>
      <c r="K77" s="115">
        <f>B77-$K$1</f>
        <v/>
      </c>
      <c r="L77" s="115">
        <f>C77-$K$1</f>
        <v/>
      </c>
      <c r="M77" s="115">
        <f>D77-$K$1</f>
        <v/>
      </c>
      <c r="N77" s="115">
        <f>E77-$K$1</f>
        <v/>
      </c>
      <c r="O77" s="115">
        <f>F77-$K$1</f>
        <v/>
      </c>
      <c r="P77" s="155">
        <f>G77-$K$1</f>
        <v/>
      </c>
      <c r="Q77" s="179">
        <f>MAX(J77:P77)</f>
        <v/>
      </c>
      <c r="R77" s="160">
        <f>IF(MAX(K77:P77)&gt;=0,1,0)</f>
        <v/>
      </c>
      <c r="S77" s="117">
        <f>IF(R77=1,COUNTIF(K77:P77,Q77),0)</f>
        <v/>
      </c>
      <c r="U77" s="116">
        <f>IF(AND(R77=1,K77=Q77),1/S77,0)</f>
        <v/>
      </c>
      <c r="V77" s="116">
        <f>IF(AND(R77=1,L77=Q77),1/S77,0)</f>
        <v/>
      </c>
      <c r="W77" s="116">
        <f>IF(AND(R77=1,M77=Q77),1/S77,0)</f>
        <v/>
      </c>
      <c r="X77" s="116">
        <f>IF(AND(R77=1,N77=Q77),1/S77,0)</f>
        <v/>
      </c>
      <c r="Y77" s="116">
        <f>IF(AND(R77=1,O77=Q77),1/S77,0)</f>
        <v/>
      </c>
      <c r="Z77" s="116">
        <f>IF(AND(R77=1,P77=Q77),1/S77,0)</f>
        <v/>
      </c>
      <c r="AA77" s="185" t="n"/>
      <c r="AB77" s="185" t="n"/>
    </row>
    <row r="78" ht="21" customHeight="1">
      <c r="A78" s="176" t="n">
        <v>106</v>
      </c>
      <c r="B78" s="107" t="n">
        <v>75</v>
      </c>
      <c r="C78" s="107" t="n">
        <v>75</v>
      </c>
      <c r="D78" s="107" t="n">
        <v>75</v>
      </c>
      <c r="E78" s="107" t="n">
        <v>75</v>
      </c>
      <c r="F78" s="107" t="n">
        <v>75</v>
      </c>
      <c r="G78" s="108" t="n">
        <v>75</v>
      </c>
      <c r="H78" s="168">
        <f>MAX(B78:G78)</f>
        <v/>
      </c>
      <c r="J78" s="154" t="n">
        <v>0</v>
      </c>
      <c r="K78" s="115">
        <f>B78-$K$1</f>
        <v/>
      </c>
      <c r="L78" s="115">
        <f>C78-$K$1</f>
        <v/>
      </c>
      <c r="M78" s="115">
        <f>D78-$K$1</f>
        <v/>
      </c>
      <c r="N78" s="115">
        <f>E78-$K$1</f>
        <v/>
      </c>
      <c r="O78" s="115">
        <f>F78-$K$1</f>
        <v/>
      </c>
      <c r="P78" s="155">
        <f>G78-$K$1</f>
        <v/>
      </c>
      <c r="Q78" s="179">
        <f>MAX(J78:P78)</f>
        <v/>
      </c>
      <c r="R78" s="160">
        <f>IF(MAX(K78:P78)&gt;=0,1,0)</f>
        <v/>
      </c>
      <c r="S78" s="117">
        <f>IF(R78=1,COUNTIF(K78:P78,Q78),0)</f>
        <v/>
      </c>
      <c r="U78" s="116">
        <f>IF(AND(R78=1,K78=Q78),1/S78,0)</f>
        <v/>
      </c>
      <c r="V78" s="116">
        <f>IF(AND(R78=1,L78=Q78),1/S78,0)</f>
        <v/>
      </c>
      <c r="W78" s="116">
        <f>IF(AND(R78=1,M78=Q78),1/S78,0)</f>
        <v/>
      </c>
      <c r="X78" s="116">
        <f>IF(AND(R78=1,N78=Q78),1/S78,0)</f>
        <v/>
      </c>
      <c r="Y78" s="116">
        <f>IF(AND(R78=1,O78=Q78),1/S78,0)</f>
        <v/>
      </c>
      <c r="Z78" s="116">
        <f>IF(AND(R78=1,P78=Q78),1/S78,0)</f>
        <v/>
      </c>
      <c r="AA78" s="185" t="n"/>
      <c r="AB78" s="185" t="n"/>
    </row>
    <row r="79" ht="21" customHeight="1">
      <c r="A79" s="176" t="n">
        <v>108</v>
      </c>
      <c r="B79" s="107" t="n">
        <v>75</v>
      </c>
      <c r="C79" s="107" t="n">
        <v>75</v>
      </c>
      <c r="D79" s="107" t="n">
        <v>75</v>
      </c>
      <c r="E79" s="107" t="n">
        <v>75</v>
      </c>
      <c r="F79" s="107" t="n">
        <v>75</v>
      </c>
      <c r="G79" s="108" t="n">
        <v>75</v>
      </c>
      <c r="H79" s="168">
        <f>MAX(B79:G79)</f>
        <v/>
      </c>
      <c r="J79" s="154" t="n">
        <v>0</v>
      </c>
      <c r="K79" s="115">
        <f>B79-$K$1</f>
        <v/>
      </c>
      <c r="L79" s="115">
        <f>C79-$K$1</f>
        <v/>
      </c>
      <c r="M79" s="115">
        <f>D79-$K$1</f>
        <v/>
      </c>
      <c r="N79" s="115">
        <f>E79-$K$1</f>
        <v/>
      </c>
      <c r="O79" s="115">
        <f>F79-$K$1</f>
        <v/>
      </c>
      <c r="P79" s="155">
        <f>G79-$K$1</f>
        <v/>
      </c>
      <c r="Q79" s="179">
        <f>MAX(J79:P79)</f>
        <v/>
      </c>
      <c r="R79" s="160">
        <f>IF(MAX(K79:P79)&gt;=0,1,0)</f>
        <v/>
      </c>
      <c r="S79" s="117">
        <f>IF(R79=1,COUNTIF(K79:P79,Q79),0)</f>
        <v/>
      </c>
      <c r="U79" s="116">
        <f>IF(AND(R79=1,K79=Q79),1/S79,0)</f>
        <v/>
      </c>
      <c r="V79" s="116">
        <f>IF(AND(R79=1,L79=Q79),1/S79,0)</f>
        <v/>
      </c>
      <c r="W79" s="116">
        <f>IF(AND(R79=1,M79=Q79),1/S79,0)</f>
        <v/>
      </c>
      <c r="X79" s="116">
        <f>IF(AND(R79=1,N79=Q79),1/S79,0)</f>
        <v/>
      </c>
      <c r="Y79" s="116">
        <f>IF(AND(R79=1,O79=Q79),1/S79,0)</f>
        <v/>
      </c>
      <c r="Z79" s="116">
        <f>IF(AND(R79=1,P79=Q79),1/S79,0)</f>
        <v/>
      </c>
      <c r="AA79" s="185" t="n"/>
      <c r="AB79" s="185" t="n"/>
    </row>
    <row r="80" ht="21" customHeight="1">
      <c r="A80" s="176" t="n">
        <v>109</v>
      </c>
      <c r="B80" s="107" t="n">
        <v>50</v>
      </c>
      <c r="C80" s="107" t="n">
        <v>50</v>
      </c>
      <c r="D80" s="107" t="n">
        <v>75</v>
      </c>
      <c r="E80" s="107" t="n">
        <v>50</v>
      </c>
      <c r="F80" s="107" t="n">
        <v>50</v>
      </c>
      <c r="G80" s="108" t="n">
        <v>50</v>
      </c>
      <c r="H80" s="168">
        <f>MAX(B80:G80)</f>
        <v/>
      </c>
      <c r="J80" s="154" t="n">
        <v>0</v>
      </c>
      <c r="K80" s="115">
        <f>B80-$K$1</f>
        <v/>
      </c>
      <c r="L80" s="115">
        <f>C80-$K$1</f>
        <v/>
      </c>
      <c r="M80" s="115">
        <f>D80-$K$1</f>
        <v/>
      </c>
      <c r="N80" s="115">
        <f>E80-$K$1</f>
        <v/>
      </c>
      <c r="O80" s="115">
        <f>F80-$K$1</f>
        <v/>
      </c>
      <c r="P80" s="155">
        <f>G80-$K$1</f>
        <v/>
      </c>
      <c r="Q80" s="179">
        <f>MAX(J80:P80)</f>
        <v/>
      </c>
      <c r="R80" s="160">
        <f>IF(MAX(K80:P80)&gt;=0,1,0)</f>
        <v/>
      </c>
      <c r="S80" s="117">
        <f>IF(R80=1,COUNTIF(K80:P80,Q80),0)</f>
        <v/>
      </c>
      <c r="U80" s="116">
        <f>IF(AND(R80=1,K80=Q80),1/S80,0)</f>
        <v/>
      </c>
      <c r="V80" s="116">
        <f>IF(AND(R80=1,L80=Q80),1/S80,0)</f>
        <v/>
      </c>
      <c r="W80" s="116">
        <f>IF(AND(R80=1,M80=Q80),1/S80,0)</f>
        <v/>
      </c>
      <c r="X80" s="116">
        <f>IF(AND(R80=1,N80=Q80),1/S80,0)</f>
        <v/>
      </c>
      <c r="Y80" s="116">
        <f>IF(AND(R80=1,O80=Q80),1/S80,0)</f>
        <v/>
      </c>
      <c r="Z80" s="116">
        <f>IF(AND(R80=1,P80=Q80),1/S80,0)</f>
        <v/>
      </c>
      <c r="AA80" s="185" t="n"/>
      <c r="AB80" s="185" t="n"/>
    </row>
    <row r="81" ht="21" customHeight="1">
      <c r="A81" s="176" t="n">
        <v>110</v>
      </c>
      <c r="B81" s="107" t="n">
        <v>50</v>
      </c>
      <c r="C81" s="107" t="n">
        <v>75</v>
      </c>
      <c r="D81" s="107" t="n">
        <v>75</v>
      </c>
      <c r="E81" s="107" t="n">
        <v>75</v>
      </c>
      <c r="F81" s="107" t="n">
        <v>100</v>
      </c>
      <c r="G81" s="108" t="n">
        <v>75</v>
      </c>
      <c r="H81" s="168">
        <f>MAX(B81:G81)</f>
        <v/>
      </c>
      <c r="J81" s="154" t="n">
        <v>0</v>
      </c>
      <c r="K81" s="115">
        <f>B81-$K$1</f>
        <v/>
      </c>
      <c r="L81" s="115">
        <f>C81-$K$1</f>
        <v/>
      </c>
      <c r="M81" s="115">
        <f>D81-$K$1</f>
        <v/>
      </c>
      <c r="N81" s="115">
        <f>E81-$K$1</f>
        <v/>
      </c>
      <c r="O81" s="115">
        <f>F81-$K$1</f>
        <v/>
      </c>
      <c r="P81" s="155">
        <f>G81-$K$1</f>
        <v/>
      </c>
      <c r="Q81" s="179">
        <f>MAX(J81:P81)</f>
        <v/>
      </c>
      <c r="R81" s="160">
        <f>IF(MAX(K81:P81)&gt;=0,1,0)</f>
        <v/>
      </c>
      <c r="S81" s="117">
        <f>IF(R81=1,COUNTIF(K81:P81,Q81),0)</f>
        <v/>
      </c>
      <c r="U81" s="116">
        <f>IF(AND(R81=1,K81=Q81),1/S81,0)</f>
        <v/>
      </c>
      <c r="V81" s="116">
        <f>IF(AND(R81=1,L81=Q81),1/S81,0)</f>
        <v/>
      </c>
      <c r="W81" s="116">
        <f>IF(AND(R81=1,M81=Q81),1/S81,0)</f>
        <v/>
      </c>
      <c r="X81" s="116">
        <f>IF(AND(R81=1,N81=Q81),1/S81,0)</f>
        <v/>
      </c>
      <c r="Y81" s="116">
        <f>IF(AND(R81=1,O81=Q81),1/S81,0)</f>
        <v/>
      </c>
      <c r="Z81" s="116">
        <f>IF(AND(R81=1,P81=Q81),1/S81,0)</f>
        <v/>
      </c>
      <c r="AA81" s="185" t="n"/>
      <c r="AB81" s="185" t="n"/>
    </row>
    <row r="82" ht="21" customHeight="1">
      <c r="A82" s="176" t="n">
        <v>111</v>
      </c>
      <c r="B82" s="107" t="n">
        <v>50</v>
      </c>
      <c r="C82" s="107" t="n">
        <v>25</v>
      </c>
      <c r="D82" s="107" t="n">
        <v>25</v>
      </c>
      <c r="E82" s="107" t="n">
        <v>25</v>
      </c>
      <c r="F82" s="107" t="n">
        <v>25</v>
      </c>
      <c r="G82" s="108" t="n">
        <v>25</v>
      </c>
      <c r="H82" s="168">
        <f>MAX(B82:G82)</f>
        <v/>
      </c>
      <c r="J82" s="154" t="n">
        <v>0</v>
      </c>
      <c r="K82" s="115">
        <f>B82-$K$1</f>
        <v/>
      </c>
      <c r="L82" s="115">
        <f>C82-$K$1</f>
        <v/>
      </c>
      <c r="M82" s="115">
        <f>D82-$K$1</f>
        <v/>
      </c>
      <c r="N82" s="115">
        <f>E82-$K$1</f>
        <v/>
      </c>
      <c r="O82" s="115">
        <f>F82-$K$1</f>
        <v/>
      </c>
      <c r="P82" s="155">
        <f>G82-$K$1</f>
        <v/>
      </c>
      <c r="Q82" s="179">
        <f>MAX(J82:P82)</f>
        <v/>
      </c>
      <c r="R82" s="160">
        <f>IF(MAX(K82:P82)&gt;=0,1,0)</f>
        <v/>
      </c>
      <c r="S82" s="117">
        <f>IF(R82=1,COUNTIF(K82:P82,Q82),0)</f>
        <v/>
      </c>
      <c r="U82" s="116">
        <f>IF(AND(R82=1,K82=Q82),1/S82,0)</f>
        <v/>
      </c>
      <c r="V82" s="116">
        <f>IF(AND(R82=1,L82=Q82),1/S82,0)</f>
        <v/>
      </c>
      <c r="W82" s="116">
        <f>IF(AND(R82=1,M82=Q82),1/S82,0)</f>
        <v/>
      </c>
      <c r="X82" s="116">
        <f>IF(AND(R82=1,N82=Q82),1/S82,0)</f>
        <v/>
      </c>
      <c r="Y82" s="116">
        <f>IF(AND(R82=1,O82=Q82),1/S82,0)</f>
        <v/>
      </c>
      <c r="Z82" s="116">
        <f>IF(AND(R82=1,P82=Q82),1/S82,0)</f>
        <v/>
      </c>
      <c r="AA82" s="185" t="n"/>
      <c r="AB82" s="185" t="n"/>
    </row>
    <row r="83" ht="21" customHeight="1">
      <c r="A83" s="177" t="n">
        <v>113</v>
      </c>
      <c r="B83" s="130" t="n">
        <v>100</v>
      </c>
      <c r="C83" s="130" t="n">
        <v>100</v>
      </c>
      <c r="D83" s="130" t="n">
        <v>75</v>
      </c>
      <c r="E83" s="130" t="n">
        <v>75</v>
      </c>
      <c r="F83" s="130" t="n">
        <v>25</v>
      </c>
      <c r="G83" s="146" t="n">
        <v>25</v>
      </c>
      <c r="H83" s="169">
        <f>MAX(B83:G83)</f>
        <v/>
      </c>
      <c r="I83" s="132" t="n"/>
      <c r="J83" s="154" t="n">
        <v>0</v>
      </c>
      <c r="K83" s="134">
        <f>B83-$K$1</f>
        <v/>
      </c>
      <c r="L83" s="134">
        <f>C83-$K$1</f>
        <v/>
      </c>
      <c r="M83" s="134">
        <f>D83-$K$1</f>
        <v/>
      </c>
      <c r="N83" s="134">
        <f>E83-$K$1</f>
        <v/>
      </c>
      <c r="O83" s="134">
        <f>F83-$K$1</f>
        <v/>
      </c>
      <c r="P83" s="157">
        <f>G83-$K$1</f>
        <v/>
      </c>
      <c r="Q83" s="180">
        <f>MAX(J83:P83)</f>
        <v/>
      </c>
      <c r="R83" s="162">
        <f>IF(MAX(K83:P83)&gt;=0,1,0)</f>
        <v/>
      </c>
      <c r="S83" s="136">
        <f>IF(R83=1,COUNTIF(K83:P83,Q83),0)</f>
        <v/>
      </c>
      <c r="U83" s="135">
        <f>IF(AND(R83=1,K83=Q83),1/S83,0)</f>
        <v/>
      </c>
      <c r="V83" s="135">
        <f>IF(AND(R83=1,L83=Q83),1/S83,0)</f>
        <v/>
      </c>
      <c r="W83" s="135">
        <f>IF(AND(R83=1,M83=Q83),1/S83,0)</f>
        <v/>
      </c>
      <c r="X83" s="135">
        <f>IF(AND(R83=1,N83=Q83),1/S83,0)</f>
        <v/>
      </c>
      <c r="Y83" s="135">
        <f>IF(AND(R83=1,O83=Q83),1/S83,0)</f>
        <v/>
      </c>
      <c r="Z83" s="135">
        <f>IF(AND(R83=1,P83=Q83),1/S83,0)</f>
        <v/>
      </c>
      <c r="AA83" s="185" t="n"/>
      <c r="AB83" s="185" t="n"/>
    </row>
    <row r="84" ht="21" customHeight="1">
      <c r="R84" s="164" t="n"/>
      <c r="T84" s="164" t="inlineStr">
        <is>
          <t>Total Non Student Demand</t>
        </is>
      </c>
      <c r="U84" s="170">
        <f>SUM(U4:U83)</f>
        <v/>
      </c>
      <c r="V84" s="170">
        <f>SUM(V4:V83)</f>
        <v/>
      </c>
      <c r="W84" s="170">
        <f>SUM(W4:W83)</f>
        <v/>
      </c>
      <c r="X84" s="170">
        <f>SUM(X4:X83)</f>
        <v/>
      </c>
      <c r="Y84" s="170">
        <f>SUM(Y4:Y83)</f>
        <v/>
      </c>
      <c r="Z84" s="170">
        <f>SUM(Z4:Z83)</f>
        <v/>
      </c>
    </row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</sheetData>
  <mergeCells count="3">
    <mergeCell ref="B2:G2"/>
    <mergeCell ref="J2:P2"/>
    <mergeCell ref="U2:Z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9"/>
  <sheetViews>
    <sheetView showGridLines="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Z29" sqref="Z29"/>
    </sheetView>
  </sheetViews>
  <sheetFormatPr baseColWidth="10" defaultColWidth="8.83203125" defaultRowHeight="21" customHeight="1"/>
  <cols>
    <col width="9.33203125" customWidth="1" style="197" min="1" max="2"/>
    <col width="6.83203125" bestFit="1" customWidth="1" style="197" min="3" max="3"/>
    <col width="7.33203125" bestFit="1" customWidth="1" style="197" min="4" max="5"/>
    <col width="6.83203125" bestFit="1" customWidth="1" style="197" min="6" max="7"/>
    <col width="7.33203125" bestFit="1" customWidth="1" style="197" min="8" max="8"/>
    <col width="9.6640625" bestFit="1" customWidth="1" style="192" min="9" max="9"/>
    <col width="8.83203125" customWidth="1" style="111" min="10" max="10"/>
    <col width="15.5" bestFit="1" customWidth="1" style="113" min="11" max="11"/>
    <col width="9.5" bestFit="1" customWidth="1" style="113" min="12" max="12"/>
    <col width="10.33203125" bestFit="1" customWidth="1" style="113" min="13" max="14"/>
    <col width="9.5" bestFit="1" customWidth="1" style="113" min="15" max="16"/>
    <col width="10.5" bestFit="1" customWidth="1" style="113" min="17" max="17"/>
    <col width="14.5" bestFit="1" customWidth="1" style="114" min="18" max="18"/>
    <col width="12" bestFit="1" customWidth="1" style="113" min="19" max="19"/>
    <col width="25.33203125" bestFit="1" customWidth="1" style="113" min="20" max="20"/>
    <col width="23.5" bestFit="1" customWidth="1" style="113" min="21" max="21"/>
    <col width="12" bestFit="1" customWidth="1" style="113" min="22" max="24"/>
    <col width="7.5" customWidth="1" style="114" min="25" max="25"/>
    <col width="25.33203125" bestFit="1" customWidth="1" style="113" min="26" max="26"/>
    <col width="10.5" bestFit="1" customWidth="1" style="193" min="27" max="27"/>
    <col width="8.83203125" customWidth="1" style="193" min="28" max="16384"/>
  </cols>
  <sheetData>
    <row r="1" ht="21" customHeight="1" thickBot="1">
      <c r="K1" s="291" t="inlineStr">
        <is>
          <t>Price</t>
        </is>
      </c>
      <c r="L1" s="295" t="n">
        <v>75</v>
      </c>
      <c r="S1" s="114" t="n"/>
      <c r="Y1" s="113" t="n"/>
      <c r="AA1" s="113" t="n"/>
    </row>
    <row r="2" ht="21" customFormat="1" customHeight="1" s="296">
      <c r="A2" s="205" t="inlineStr">
        <is>
          <t>Client</t>
        </is>
      </c>
      <c r="B2" s="226" t="inlineStr">
        <is>
          <t>Student</t>
        </is>
      </c>
      <c r="C2" s="234" t="inlineStr">
        <is>
          <t>MAXIMUM WTP for each time period</t>
        </is>
      </c>
      <c r="D2" s="260" t="n"/>
      <c r="E2" s="260" t="n"/>
      <c r="F2" s="260" t="n"/>
      <c r="G2" s="260" t="n"/>
      <c r="H2" s="261" t="n"/>
      <c r="I2" s="186" t="inlineStr">
        <is>
          <t>Max.WTP</t>
        </is>
      </c>
      <c r="J2" s="105" t="n"/>
      <c r="K2" s="297" t="inlineStr">
        <is>
          <t>Net Utility</t>
        </is>
      </c>
      <c r="L2" s="298" t="n"/>
      <c r="M2" s="298" t="n"/>
      <c r="N2" s="298" t="n"/>
      <c r="O2" s="298" t="n"/>
      <c r="P2" s="298" t="n"/>
      <c r="Q2" s="298" t="n"/>
      <c r="R2" s="120" t="inlineStr">
        <is>
          <t>Max Net Utility</t>
        </is>
      </c>
      <c r="S2" s="120" t="inlineStr">
        <is>
          <t>Buy</t>
        </is>
      </c>
      <c r="T2" s="285" t="inlineStr">
        <is>
          <t># Acceptable Time Slots</t>
        </is>
      </c>
      <c r="U2" s="285" t="n"/>
      <c r="V2" s="297" t="inlineStr">
        <is>
          <t>Probability of Buying a Time Slot</t>
        </is>
      </c>
      <c r="W2" s="298" t="n"/>
      <c r="X2" s="298" t="n"/>
      <c r="Y2" s="298" t="n"/>
      <c r="Z2" s="298" t="n"/>
      <c r="AA2" s="298" t="n"/>
    </row>
    <row r="3" ht="21" customFormat="1" customHeight="1" s="296" thickBot="1">
      <c r="A3" s="206" t="inlineStr">
        <is>
          <t>ID</t>
        </is>
      </c>
      <c r="B3" s="227" t="inlineStr">
        <is>
          <t>ID</t>
        </is>
      </c>
      <c r="C3" s="187" t="inlineStr">
        <is>
          <t>6am-9am</t>
        </is>
      </c>
      <c r="D3" s="187" t="inlineStr">
        <is>
          <t>9am-noon</t>
        </is>
      </c>
      <c r="E3" s="187" t="inlineStr">
        <is>
          <t>Noon-2pm</t>
        </is>
      </c>
      <c r="F3" s="187" t="inlineStr">
        <is>
          <t>2pm-5pm</t>
        </is>
      </c>
      <c r="G3" s="187" t="inlineStr">
        <is>
          <t>5pm-9pm</t>
        </is>
      </c>
      <c r="H3" s="188" t="inlineStr">
        <is>
          <t>9pm-close</t>
        </is>
      </c>
      <c r="I3" s="189" t="inlineStr">
        <is>
          <t>Day</t>
        </is>
      </c>
      <c r="J3" s="104" t="n"/>
      <c r="K3" s="111" t="inlineStr">
        <is>
          <t>not buy</t>
        </is>
      </c>
      <c r="L3" s="111" t="inlineStr">
        <is>
          <t>6am-9am</t>
        </is>
      </c>
      <c r="M3" s="111" t="inlineStr">
        <is>
          <t>9am-noon</t>
        </is>
      </c>
      <c r="N3" s="111" t="inlineStr">
        <is>
          <t>Noon-2pm</t>
        </is>
      </c>
      <c r="O3" s="111" t="inlineStr">
        <is>
          <t>2pm-5pm</t>
        </is>
      </c>
      <c r="P3" s="111" t="inlineStr">
        <is>
          <t>5pm-9pm</t>
        </is>
      </c>
      <c r="Q3" s="111" t="inlineStr">
        <is>
          <t>9pm-close</t>
        </is>
      </c>
      <c r="R3" s="202" t="inlineStr">
        <is>
          <t>Day</t>
        </is>
      </c>
      <c r="S3" s="202" t="n"/>
      <c r="T3" s="291" t="n"/>
      <c r="U3" s="291" t="n"/>
      <c r="V3" s="111" t="inlineStr">
        <is>
          <t>6am-9am</t>
        </is>
      </c>
      <c r="W3" s="111" t="inlineStr">
        <is>
          <t>9am-noon</t>
        </is>
      </c>
      <c r="X3" s="111" t="inlineStr">
        <is>
          <t>Noon-2pm</t>
        </is>
      </c>
      <c r="Y3" s="111" t="inlineStr">
        <is>
          <t>2pm-5pm</t>
        </is>
      </c>
      <c r="Z3" s="111" t="inlineStr">
        <is>
          <t>5pm-9pm</t>
        </is>
      </c>
      <c r="AA3" s="111" t="inlineStr">
        <is>
          <t>9pm-close</t>
        </is>
      </c>
    </row>
    <row r="4" ht="21" customHeight="1" thickTop="1">
      <c r="A4" s="197" t="n">
        <v>1</v>
      </c>
      <c r="B4" s="228" t="n">
        <v>1</v>
      </c>
      <c r="C4" s="195" t="n">
        <v>75</v>
      </c>
      <c r="D4" s="195" t="n">
        <v>25</v>
      </c>
      <c r="E4" s="195" t="n">
        <v>50</v>
      </c>
      <c r="F4" s="195" t="n">
        <v>25</v>
      </c>
      <c r="G4" s="195" t="n">
        <v>75</v>
      </c>
      <c r="H4" s="196" t="n">
        <v>50</v>
      </c>
      <c r="I4" s="109">
        <f>MAX(C4:H4)</f>
        <v/>
      </c>
      <c r="K4" s="113" t="n">
        <v>0</v>
      </c>
      <c r="L4" s="115">
        <f>C4-$L$1</f>
        <v/>
      </c>
      <c r="M4" s="115">
        <f>D4-$L$1</f>
        <v/>
      </c>
      <c r="N4" s="115">
        <f>E4-$L$1</f>
        <v/>
      </c>
      <c r="O4" s="115">
        <f>F4-$L$1</f>
        <v/>
      </c>
      <c r="P4" s="115">
        <f>G4-$L$1</f>
        <v/>
      </c>
      <c r="Q4" s="115">
        <f>H4-$L$1</f>
        <v/>
      </c>
      <c r="R4" s="116">
        <f>MAX(K4:Q4)</f>
        <v/>
      </c>
      <c r="S4" s="116">
        <f>IF(MAX(L4:Q4)&gt;=0,1,0)</f>
        <v/>
      </c>
      <c r="T4" s="117">
        <f>IF(S4=1,COUNTIF(L4:Q4,R4),0)</f>
        <v/>
      </c>
      <c r="V4" s="116">
        <f>IF(AND(S4=1,L4=R4),1/T4,0)</f>
        <v/>
      </c>
      <c r="W4" s="116">
        <f>IF(AND(S4=1,M4=R4),1/T4,0)</f>
        <v/>
      </c>
      <c r="X4" s="116">
        <f>IF(AND(S4=1,N4=R4),1/T4,0)</f>
        <v/>
      </c>
      <c r="Y4" s="116">
        <f>IF(AND(S4=1,O4=R4),1/T4,0)</f>
        <v/>
      </c>
      <c r="Z4" s="116">
        <f>IF(AND(S4=1,P4=R4),1/T4,0)</f>
        <v/>
      </c>
      <c r="AA4" s="116">
        <f>IF(AND(S4=1,Q4=R4),1/T4,0)</f>
        <v/>
      </c>
    </row>
    <row r="5" ht="21" customHeight="1">
      <c r="A5" s="197" t="n">
        <v>2</v>
      </c>
      <c r="B5" s="228" t="n">
        <v>0</v>
      </c>
      <c r="C5" s="195" t="n">
        <v>25</v>
      </c>
      <c r="D5" s="195" t="n">
        <v>25</v>
      </c>
      <c r="E5" s="195" t="n">
        <v>25</v>
      </c>
      <c r="F5" s="195" t="n">
        <v>25</v>
      </c>
      <c r="G5" s="195" t="n">
        <v>75</v>
      </c>
      <c r="H5" s="196" t="n">
        <v>75</v>
      </c>
      <c r="I5" s="109">
        <f>MAX(C5:H5)</f>
        <v/>
      </c>
      <c r="K5" s="113" t="n">
        <v>0</v>
      </c>
      <c r="L5" s="115">
        <f>C5-$L$1</f>
        <v/>
      </c>
      <c r="M5" s="115">
        <f>D5-$L$1</f>
        <v/>
      </c>
      <c r="N5" s="115">
        <f>E5-$L$1</f>
        <v/>
      </c>
      <c r="O5" s="115">
        <f>F5-$L$1</f>
        <v/>
      </c>
      <c r="P5" s="115">
        <f>G5-$L$1</f>
        <v/>
      </c>
      <c r="Q5" s="115">
        <f>H5-$L$1</f>
        <v/>
      </c>
      <c r="R5" s="116">
        <f>MAX(K5:Q5)</f>
        <v/>
      </c>
      <c r="S5" s="116">
        <f>IF(MAX(L5:Q5)&gt;=0,1,0)</f>
        <v/>
      </c>
      <c r="T5" s="117">
        <f>IF(S5=1,COUNTIF(L5:Q5,R5),0)</f>
        <v/>
      </c>
      <c r="V5" s="116">
        <f>IF(AND(S5=1,L5=R5),1/T5,0)</f>
        <v/>
      </c>
      <c r="W5" s="116">
        <f>IF(AND(S5=1,M5=R5),1/T5,0)</f>
        <v/>
      </c>
      <c r="X5" s="116">
        <f>IF(AND(S5=1,N5=R5),1/T5,0)</f>
        <v/>
      </c>
      <c r="Y5" s="116">
        <f>IF(AND(S5=1,O5=R5),1/T5,0)</f>
        <v/>
      </c>
      <c r="Z5" s="116">
        <f>IF(AND(S5=1,P5=R5),1/T5,0)</f>
        <v/>
      </c>
      <c r="AA5" s="116">
        <f>IF(AND(S5=1,Q5=R5),1/T5,0)</f>
        <v/>
      </c>
    </row>
    <row r="6" ht="21" customHeight="1">
      <c r="A6" s="197" t="n">
        <v>3</v>
      </c>
      <c r="B6" s="228" t="n">
        <v>0</v>
      </c>
      <c r="C6" s="195" t="n">
        <v>25</v>
      </c>
      <c r="D6" s="195" t="n">
        <v>25</v>
      </c>
      <c r="E6" s="195" t="n">
        <v>25</v>
      </c>
      <c r="F6" s="195" t="n">
        <v>25</v>
      </c>
      <c r="G6" s="195" t="n">
        <v>50</v>
      </c>
      <c r="H6" s="196" t="n">
        <v>50</v>
      </c>
      <c r="I6" s="109">
        <f>MAX(C6:H6)</f>
        <v/>
      </c>
      <c r="K6" s="113" t="n">
        <v>0</v>
      </c>
      <c r="L6" s="115">
        <f>C6-$L$1</f>
        <v/>
      </c>
      <c r="M6" s="115">
        <f>D6-$L$1</f>
        <v/>
      </c>
      <c r="N6" s="115">
        <f>E6-$L$1</f>
        <v/>
      </c>
      <c r="O6" s="115">
        <f>F6-$L$1</f>
        <v/>
      </c>
      <c r="P6" s="115">
        <f>G6-$L$1</f>
        <v/>
      </c>
      <c r="Q6" s="115">
        <f>H6-$L$1</f>
        <v/>
      </c>
      <c r="R6" s="116">
        <f>MAX(K6:Q6)</f>
        <v/>
      </c>
      <c r="S6" s="116">
        <f>IF(MAX(L6:Q6)&gt;=0,1,0)</f>
        <v/>
      </c>
      <c r="T6" s="117">
        <f>IF(S6=1,COUNTIF(L6:Q6,R6),0)</f>
        <v/>
      </c>
      <c r="V6" s="116">
        <f>IF(AND(S6=1,L6=R6),1/T6,0)</f>
        <v/>
      </c>
      <c r="W6" s="116">
        <f>IF(AND(S6=1,M6=R6),1/T6,0)</f>
        <v/>
      </c>
      <c r="X6" s="116">
        <f>IF(AND(S6=1,N6=R6),1/T6,0)</f>
        <v/>
      </c>
      <c r="Y6" s="116">
        <f>IF(AND(S6=1,O6=R6),1/T6,0)</f>
        <v/>
      </c>
      <c r="Z6" s="116">
        <f>IF(AND(S6=1,P6=R6),1/T6,0)</f>
        <v/>
      </c>
      <c r="AA6" s="116">
        <f>IF(AND(S6=1,Q6=R6),1/T6,0)</f>
        <v/>
      </c>
    </row>
    <row r="7" ht="21" customHeight="1">
      <c r="A7" s="197" t="n">
        <v>4</v>
      </c>
      <c r="B7" s="228" t="n">
        <v>1</v>
      </c>
      <c r="C7" s="195" t="n">
        <v>25</v>
      </c>
      <c r="D7" s="195" t="n">
        <v>25</v>
      </c>
      <c r="E7" s="195" t="n">
        <v>25</v>
      </c>
      <c r="F7" s="195" t="n">
        <v>25</v>
      </c>
      <c r="G7" s="195" t="n">
        <v>50</v>
      </c>
      <c r="H7" s="196" t="n">
        <v>75</v>
      </c>
      <c r="I7" s="109">
        <f>MAX(C7:H7)</f>
        <v/>
      </c>
      <c r="K7" s="113" t="n">
        <v>0</v>
      </c>
      <c r="L7" s="115">
        <f>C7-$L$1</f>
        <v/>
      </c>
      <c r="M7" s="115">
        <f>D7-$L$1</f>
        <v/>
      </c>
      <c r="N7" s="115">
        <f>E7-$L$1</f>
        <v/>
      </c>
      <c r="O7" s="115">
        <f>F7-$L$1</f>
        <v/>
      </c>
      <c r="P7" s="115">
        <f>G7-$L$1</f>
        <v/>
      </c>
      <c r="Q7" s="115">
        <f>H7-$L$1</f>
        <v/>
      </c>
      <c r="R7" s="116">
        <f>MAX(K7:Q7)</f>
        <v/>
      </c>
      <c r="S7" s="116">
        <f>IF(MAX(L7:Q7)&gt;=0,1,0)</f>
        <v/>
      </c>
      <c r="T7" s="117">
        <f>IF(S7=1,COUNTIF(L7:Q7,R7),0)</f>
        <v/>
      </c>
      <c r="V7" s="116">
        <f>IF(AND(S7=1,L7=R7),1/T7,0)</f>
        <v/>
      </c>
      <c r="W7" s="116">
        <f>IF(AND(S7=1,M7=R7),1/T7,0)</f>
        <v/>
      </c>
      <c r="X7" s="116">
        <f>IF(AND(S7=1,N7=R7),1/T7,0)</f>
        <v/>
      </c>
      <c r="Y7" s="116">
        <f>IF(AND(S7=1,O7=R7),1/T7,0)</f>
        <v/>
      </c>
      <c r="Z7" s="116">
        <f>IF(AND(S7=1,P7=R7),1/T7,0)</f>
        <v/>
      </c>
      <c r="AA7" s="116">
        <f>IF(AND(S7=1,Q7=R7),1/T7,0)</f>
        <v/>
      </c>
    </row>
    <row r="8" ht="21" customHeight="1">
      <c r="A8" s="197" t="n">
        <v>5</v>
      </c>
      <c r="B8" s="228" t="n">
        <v>0</v>
      </c>
      <c r="C8" s="195" t="n">
        <v>75</v>
      </c>
      <c r="D8" s="195" t="n">
        <v>75</v>
      </c>
      <c r="E8" s="195" t="n">
        <v>75</v>
      </c>
      <c r="F8" s="195" t="n">
        <v>75</v>
      </c>
      <c r="G8" s="195" t="n">
        <v>75</v>
      </c>
      <c r="H8" s="196" t="n">
        <v>75</v>
      </c>
      <c r="I8" s="109">
        <f>MAX(C8:H8)</f>
        <v/>
      </c>
      <c r="K8" s="113" t="n">
        <v>0</v>
      </c>
      <c r="L8" s="115">
        <f>C8-$L$1</f>
        <v/>
      </c>
      <c r="M8" s="115">
        <f>D8-$L$1</f>
        <v/>
      </c>
      <c r="N8" s="115">
        <f>E8-$L$1</f>
        <v/>
      </c>
      <c r="O8" s="115">
        <f>F8-$L$1</f>
        <v/>
      </c>
      <c r="P8" s="115">
        <f>G8-$L$1</f>
        <v/>
      </c>
      <c r="Q8" s="115">
        <f>H8-$L$1</f>
        <v/>
      </c>
      <c r="R8" s="116">
        <f>MAX(K8:Q8)</f>
        <v/>
      </c>
      <c r="S8" s="116">
        <f>IF(MAX(L8:Q8)&gt;=0,1,0)</f>
        <v/>
      </c>
      <c r="T8" s="117">
        <f>IF(S8=1,COUNTIF(L8:Q8,R8),0)</f>
        <v/>
      </c>
      <c r="V8" s="116">
        <f>IF(AND(S8=1,L8=R8),1/T8,0)</f>
        <v/>
      </c>
      <c r="W8" s="116">
        <f>IF(AND(S8=1,M8=R8),1/T8,0)</f>
        <v/>
      </c>
      <c r="X8" s="116">
        <f>IF(AND(S8=1,N8=R8),1/T8,0)</f>
        <v/>
      </c>
      <c r="Y8" s="116">
        <f>IF(AND(S8=1,O8=R8),1/T8,0)</f>
        <v/>
      </c>
      <c r="Z8" s="116">
        <f>IF(AND(S8=1,P8=R8),1/T8,0)</f>
        <v/>
      </c>
      <c r="AA8" s="116">
        <f>IF(AND(S8=1,Q8=R8),1/T8,0)</f>
        <v/>
      </c>
    </row>
    <row r="9" ht="21" customHeight="1">
      <c r="A9" s="197" t="n">
        <v>6</v>
      </c>
      <c r="B9" s="228" t="n">
        <v>0</v>
      </c>
      <c r="C9" s="195" t="n">
        <v>25</v>
      </c>
      <c r="D9" s="195" t="n">
        <v>25</v>
      </c>
      <c r="E9" s="195" t="n">
        <v>25</v>
      </c>
      <c r="F9" s="195" t="n">
        <v>25</v>
      </c>
      <c r="G9" s="195" t="n">
        <v>75</v>
      </c>
      <c r="H9" s="196" t="n">
        <v>75</v>
      </c>
      <c r="I9" s="109">
        <f>MAX(C9:H9)</f>
        <v/>
      </c>
      <c r="K9" s="113" t="n">
        <v>0</v>
      </c>
      <c r="L9" s="115">
        <f>C9-$L$1</f>
        <v/>
      </c>
      <c r="M9" s="115">
        <f>D9-$L$1</f>
        <v/>
      </c>
      <c r="N9" s="115">
        <f>E9-$L$1</f>
        <v/>
      </c>
      <c r="O9" s="115">
        <f>F9-$L$1</f>
        <v/>
      </c>
      <c r="P9" s="115">
        <f>G9-$L$1</f>
        <v/>
      </c>
      <c r="Q9" s="115">
        <f>H9-$L$1</f>
        <v/>
      </c>
      <c r="R9" s="116">
        <f>MAX(K9:Q9)</f>
        <v/>
      </c>
      <c r="S9" s="116">
        <f>IF(MAX(L9:Q9)&gt;=0,1,0)</f>
        <v/>
      </c>
      <c r="T9" s="117">
        <f>IF(S9=1,COUNTIF(L9:Q9,R9),0)</f>
        <v/>
      </c>
      <c r="V9" s="116">
        <f>IF(AND(S9=1,L9=R9),1/T9,0)</f>
        <v/>
      </c>
      <c r="W9" s="116">
        <f>IF(AND(S9=1,M9=R9),1/T9,0)</f>
        <v/>
      </c>
      <c r="X9" s="116">
        <f>IF(AND(S9=1,N9=R9),1/T9,0)</f>
        <v/>
      </c>
      <c r="Y9" s="116">
        <f>IF(AND(S9=1,O9=R9),1/T9,0)</f>
        <v/>
      </c>
      <c r="Z9" s="116">
        <f>IF(AND(S9=1,P9=R9),1/T9,0)</f>
        <v/>
      </c>
      <c r="AA9" s="116">
        <f>IF(AND(S9=1,Q9=R9),1/T9,0)</f>
        <v/>
      </c>
    </row>
    <row r="10" ht="21" customHeight="1">
      <c r="A10" s="197" t="n">
        <v>7</v>
      </c>
      <c r="B10" s="228" t="n">
        <v>1</v>
      </c>
      <c r="C10" s="195" t="n">
        <v>25</v>
      </c>
      <c r="D10" s="195" t="n">
        <v>25</v>
      </c>
      <c r="E10" s="195" t="n">
        <v>25</v>
      </c>
      <c r="F10" s="195" t="n">
        <v>25</v>
      </c>
      <c r="G10" s="195" t="n">
        <v>25</v>
      </c>
      <c r="H10" s="196" t="n">
        <v>25</v>
      </c>
      <c r="I10" s="109">
        <f>MAX(C10:H10)</f>
        <v/>
      </c>
      <c r="K10" s="113" t="n">
        <v>0</v>
      </c>
      <c r="L10" s="115">
        <f>C10-$L$1</f>
        <v/>
      </c>
      <c r="M10" s="115">
        <f>D10-$L$1</f>
        <v/>
      </c>
      <c r="N10" s="115">
        <f>E10-$L$1</f>
        <v/>
      </c>
      <c r="O10" s="115">
        <f>F10-$L$1</f>
        <v/>
      </c>
      <c r="P10" s="115">
        <f>G10-$L$1</f>
        <v/>
      </c>
      <c r="Q10" s="115">
        <f>H10-$L$1</f>
        <v/>
      </c>
      <c r="R10" s="116">
        <f>MAX(K10:Q10)</f>
        <v/>
      </c>
      <c r="S10" s="116">
        <f>IF(MAX(L10:Q10)&gt;=0,1,0)</f>
        <v/>
      </c>
      <c r="T10" s="117">
        <f>IF(S10=1,COUNTIF(L10:Q10,R10),0)</f>
        <v/>
      </c>
      <c r="V10" s="116">
        <f>IF(AND(S10=1,L10=R10),1/T10,0)</f>
        <v/>
      </c>
      <c r="W10" s="116">
        <f>IF(AND(S10=1,M10=R10),1/T10,0)</f>
        <v/>
      </c>
      <c r="X10" s="116">
        <f>IF(AND(S10=1,N10=R10),1/T10,0)</f>
        <v/>
      </c>
      <c r="Y10" s="116">
        <f>IF(AND(S10=1,O10=R10),1/T10,0)</f>
        <v/>
      </c>
      <c r="Z10" s="116">
        <f>IF(AND(S10=1,P10=R10),1/T10,0)</f>
        <v/>
      </c>
      <c r="AA10" s="116">
        <f>IF(AND(S10=1,Q10=R10),1/T10,0)</f>
        <v/>
      </c>
    </row>
    <row r="11" ht="21" customHeight="1">
      <c r="A11" s="197" t="n">
        <v>8</v>
      </c>
      <c r="B11" s="228" t="n">
        <v>1</v>
      </c>
      <c r="C11" s="195" t="n">
        <v>50</v>
      </c>
      <c r="D11" s="195" t="n">
        <v>50</v>
      </c>
      <c r="E11" s="195" t="n">
        <v>50</v>
      </c>
      <c r="F11" s="195" t="n">
        <v>50</v>
      </c>
      <c r="G11" s="195" t="n">
        <v>50</v>
      </c>
      <c r="H11" s="196" t="n">
        <v>50</v>
      </c>
      <c r="I11" s="109">
        <f>MAX(C11:H11)</f>
        <v/>
      </c>
      <c r="K11" s="113" t="n">
        <v>0</v>
      </c>
      <c r="L11" s="115">
        <f>C11-$L$1</f>
        <v/>
      </c>
      <c r="M11" s="115">
        <f>D11-$L$1</f>
        <v/>
      </c>
      <c r="N11" s="115">
        <f>E11-$L$1</f>
        <v/>
      </c>
      <c r="O11" s="115">
        <f>F11-$L$1</f>
        <v/>
      </c>
      <c r="P11" s="115">
        <f>G11-$L$1</f>
        <v/>
      </c>
      <c r="Q11" s="115">
        <f>H11-$L$1</f>
        <v/>
      </c>
      <c r="R11" s="116">
        <f>MAX(K11:Q11)</f>
        <v/>
      </c>
      <c r="S11" s="116">
        <f>IF(MAX(L11:Q11)&gt;=0,1,0)</f>
        <v/>
      </c>
      <c r="T11" s="117">
        <f>IF(S11=1,COUNTIF(L11:Q11,R11),0)</f>
        <v/>
      </c>
      <c r="V11" s="116">
        <f>IF(AND(S11=1,L11=R11),1/T11,0)</f>
        <v/>
      </c>
      <c r="W11" s="116">
        <f>IF(AND(S11=1,M11=R11),1/T11,0)</f>
        <v/>
      </c>
      <c r="X11" s="116">
        <f>IF(AND(S11=1,N11=R11),1/T11,0)</f>
        <v/>
      </c>
      <c r="Y11" s="116">
        <f>IF(AND(S11=1,O11=R11),1/T11,0)</f>
        <v/>
      </c>
      <c r="Z11" s="116">
        <f>IF(AND(S11=1,P11=R11),1/T11,0)</f>
        <v/>
      </c>
      <c r="AA11" s="116">
        <f>IF(AND(S11=1,Q11=R11),1/T11,0)</f>
        <v/>
      </c>
    </row>
    <row r="12" ht="21" customHeight="1">
      <c r="A12" s="197" t="n">
        <v>9</v>
      </c>
      <c r="B12" s="228" t="n">
        <v>0</v>
      </c>
      <c r="C12" s="195" t="n">
        <v>100</v>
      </c>
      <c r="D12" s="195" t="n">
        <v>100</v>
      </c>
      <c r="E12" s="195" t="n">
        <v>100</v>
      </c>
      <c r="F12" s="195" t="n">
        <v>100</v>
      </c>
      <c r="G12" s="195" t="n">
        <v>100</v>
      </c>
      <c r="H12" s="196" t="n">
        <v>100</v>
      </c>
      <c r="I12" s="109">
        <f>MAX(C12:H12)</f>
        <v/>
      </c>
      <c r="K12" s="113" t="n">
        <v>0</v>
      </c>
      <c r="L12" s="115">
        <f>C12-$L$1</f>
        <v/>
      </c>
      <c r="M12" s="115">
        <f>D12-$L$1</f>
        <v/>
      </c>
      <c r="N12" s="115">
        <f>E12-$L$1</f>
        <v/>
      </c>
      <c r="O12" s="115">
        <f>F12-$L$1</f>
        <v/>
      </c>
      <c r="P12" s="115">
        <f>G12-$L$1</f>
        <v/>
      </c>
      <c r="Q12" s="115">
        <f>H12-$L$1</f>
        <v/>
      </c>
      <c r="R12" s="116">
        <f>MAX(K12:Q12)</f>
        <v/>
      </c>
      <c r="S12" s="116">
        <f>IF(MAX(L12:Q12)&gt;=0,1,0)</f>
        <v/>
      </c>
      <c r="T12" s="117">
        <f>IF(S12=1,COUNTIF(L12:Q12,R12),0)</f>
        <v/>
      </c>
      <c r="V12" s="116">
        <f>IF(AND(S12=1,L12=R12),1/T12,0)</f>
        <v/>
      </c>
      <c r="W12" s="116">
        <f>IF(AND(S12=1,M12=R12),1/T12,0)</f>
        <v/>
      </c>
      <c r="X12" s="116">
        <f>IF(AND(S12=1,N12=R12),1/T12,0)</f>
        <v/>
      </c>
      <c r="Y12" s="116">
        <f>IF(AND(S12=1,O12=R12),1/T12,0)</f>
        <v/>
      </c>
      <c r="Z12" s="116">
        <f>IF(AND(S12=1,P12=R12),1/T12,0)</f>
        <v/>
      </c>
      <c r="AA12" s="116">
        <f>IF(AND(S12=1,Q12=R12),1/T12,0)</f>
        <v/>
      </c>
    </row>
    <row r="13" ht="21" customHeight="1">
      <c r="A13" s="197" t="n">
        <v>10</v>
      </c>
      <c r="B13" s="228" t="n">
        <v>0</v>
      </c>
      <c r="C13" s="195" t="n">
        <v>100</v>
      </c>
      <c r="D13" s="195" t="n">
        <v>100</v>
      </c>
      <c r="E13" s="195" t="n">
        <v>100</v>
      </c>
      <c r="F13" s="195" t="n">
        <v>100</v>
      </c>
      <c r="G13" s="195" t="n">
        <v>100</v>
      </c>
      <c r="H13" s="196" t="n">
        <v>100</v>
      </c>
      <c r="I13" s="109">
        <f>MAX(C13:H13)</f>
        <v/>
      </c>
      <c r="K13" s="113" t="n">
        <v>0</v>
      </c>
      <c r="L13" s="115">
        <f>C13-$L$1</f>
        <v/>
      </c>
      <c r="M13" s="115">
        <f>D13-$L$1</f>
        <v/>
      </c>
      <c r="N13" s="115">
        <f>E13-$L$1</f>
        <v/>
      </c>
      <c r="O13" s="115">
        <f>F13-$L$1</f>
        <v/>
      </c>
      <c r="P13" s="115">
        <f>G13-$L$1</f>
        <v/>
      </c>
      <c r="Q13" s="115">
        <f>H13-$L$1</f>
        <v/>
      </c>
      <c r="R13" s="116">
        <f>MAX(K13:Q13)</f>
        <v/>
      </c>
      <c r="S13" s="116">
        <f>IF(MAX(L13:Q13)&gt;=0,1,0)</f>
        <v/>
      </c>
      <c r="T13" s="117">
        <f>IF(S13=1,COUNTIF(L13:Q13,R13),0)</f>
        <v/>
      </c>
      <c r="V13" s="116">
        <f>IF(AND(S13=1,L13=R13),1/T13,0)</f>
        <v/>
      </c>
      <c r="W13" s="116">
        <f>IF(AND(S13=1,M13=R13),1/T13,0)</f>
        <v/>
      </c>
      <c r="X13" s="116">
        <f>IF(AND(S13=1,N13=R13),1/T13,0)</f>
        <v/>
      </c>
      <c r="Y13" s="116">
        <f>IF(AND(S13=1,O13=R13),1/T13,0)</f>
        <v/>
      </c>
      <c r="Z13" s="116">
        <f>IF(AND(S13=1,P13=R13),1/T13,0)</f>
        <v/>
      </c>
      <c r="AA13" s="116">
        <f>IF(AND(S13=1,Q13=R13),1/T13,0)</f>
        <v/>
      </c>
    </row>
    <row r="14" ht="21" customHeight="1">
      <c r="A14" s="197" t="n">
        <v>11</v>
      </c>
      <c r="B14" s="228" t="n">
        <v>0</v>
      </c>
      <c r="C14" s="195" t="n">
        <v>25</v>
      </c>
      <c r="D14" s="195" t="n">
        <v>25</v>
      </c>
      <c r="E14" s="195" t="n">
        <v>25</v>
      </c>
      <c r="F14" s="195" t="n">
        <v>25</v>
      </c>
      <c r="G14" s="195" t="n">
        <v>50</v>
      </c>
      <c r="H14" s="196" t="n">
        <v>25</v>
      </c>
      <c r="I14" s="109">
        <f>MAX(C14:H14)</f>
        <v/>
      </c>
      <c r="K14" s="113" t="n">
        <v>0</v>
      </c>
      <c r="L14" s="115">
        <f>C14-$L$1</f>
        <v/>
      </c>
      <c r="M14" s="115">
        <f>D14-$L$1</f>
        <v/>
      </c>
      <c r="N14" s="115">
        <f>E14-$L$1</f>
        <v/>
      </c>
      <c r="O14" s="115">
        <f>F14-$L$1</f>
        <v/>
      </c>
      <c r="P14" s="115">
        <f>G14-$L$1</f>
        <v/>
      </c>
      <c r="Q14" s="115">
        <f>H14-$L$1</f>
        <v/>
      </c>
      <c r="R14" s="116">
        <f>MAX(K14:Q14)</f>
        <v/>
      </c>
      <c r="S14" s="116">
        <f>IF(MAX(L14:Q14)&gt;=0,1,0)</f>
        <v/>
      </c>
      <c r="T14" s="117">
        <f>IF(S14=1,COUNTIF(L14:Q14,R14),0)</f>
        <v/>
      </c>
      <c r="V14" s="116">
        <f>IF(AND(S14=1,L14=R14),1/T14,0)</f>
        <v/>
      </c>
      <c r="W14" s="116">
        <f>IF(AND(S14=1,M14=R14),1/T14,0)</f>
        <v/>
      </c>
      <c r="X14" s="116">
        <f>IF(AND(S14=1,N14=R14),1/T14,0)</f>
        <v/>
      </c>
      <c r="Y14" s="116">
        <f>IF(AND(S14=1,O14=R14),1/T14,0)</f>
        <v/>
      </c>
      <c r="Z14" s="116">
        <f>IF(AND(S14=1,P14=R14),1/T14,0)</f>
        <v/>
      </c>
      <c r="AA14" s="116">
        <f>IF(AND(S14=1,Q14=R14),1/T14,0)</f>
        <v/>
      </c>
    </row>
    <row r="15" ht="21" customHeight="1">
      <c r="A15" s="197" t="n">
        <v>12</v>
      </c>
      <c r="B15" s="228" t="n">
        <v>0</v>
      </c>
      <c r="C15" s="195" t="n">
        <v>50</v>
      </c>
      <c r="D15" s="195" t="n">
        <v>75</v>
      </c>
      <c r="E15" s="195" t="n">
        <v>150</v>
      </c>
      <c r="F15" s="195" t="n">
        <v>75</v>
      </c>
      <c r="G15" s="195" t="n">
        <v>150</v>
      </c>
      <c r="H15" s="196" t="n">
        <v>75</v>
      </c>
      <c r="I15" s="109">
        <f>MAX(C15:H15)</f>
        <v/>
      </c>
      <c r="K15" s="113" t="n">
        <v>0</v>
      </c>
      <c r="L15" s="115">
        <f>C15-$L$1</f>
        <v/>
      </c>
      <c r="M15" s="115">
        <f>D15-$L$1</f>
        <v/>
      </c>
      <c r="N15" s="115">
        <f>E15-$L$1</f>
        <v/>
      </c>
      <c r="O15" s="115">
        <f>F15-$L$1</f>
        <v/>
      </c>
      <c r="P15" s="115">
        <f>G15-$L$1</f>
        <v/>
      </c>
      <c r="Q15" s="115">
        <f>H15-$L$1</f>
        <v/>
      </c>
      <c r="R15" s="116">
        <f>MAX(K15:Q15)</f>
        <v/>
      </c>
      <c r="S15" s="116">
        <f>IF(MAX(L15:Q15)&gt;=0,1,0)</f>
        <v/>
      </c>
      <c r="T15" s="117">
        <f>IF(S15=1,COUNTIF(L15:Q15,R15),0)</f>
        <v/>
      </c>
      <c r="V15" s="116">
        <f>IF(AND(S15=1,L15=R15),1/T15,0)</f>
        <v/>
      </c>
      <c r="W15" s="116">
        <f>IF(AND(S15=1,M15=R15),1/T15,0)</f>
        <v/>
      </c>
      <c r="X15" s="116">
        <f>IF(AND(S15=1,N15=R15),1/T15,0)</f>
        <v/>
      </c>
      <c r="Y15" s="116">
        <f>IF(AND(S15=1,O15=R15),1/T15,0)</f>
        <v/>
      </c>
      <c r="Z15" s="116">
        <f>IF(AND(S15=1,P15=R15),1/T15,0)</f>
        <v/>
      </c>
      <c r="AA15" s="116">
        <f>IF(AND(S15=1,Q15=R15),1/T15,0)</f>
        <v/>
      </c>
    </row>
    <row r="16" ht="21" customHeight="1">
      <c r="A16" s="197" t="n">
        <v>13</v>
      </c>
      <c r="B16" s="228" t="n">
        <v>0</v>
      </c>
      <c r="C16" s="195" t="n">
        <v>25</v>
      </c>
      <c r="D16" s="195" t="n">
        <v>25</v>
      </c>
      <c r="E16" s="195" t="n">
        <v>25</v>
      </c>
      <c r="F16" s="195" t="n">
        <v>25</v>
      </c>
      <c r="G16" s="195" t="n">
        <v>25</v>
      </c>
      <c r="H16" s="196" t="n">
        <v>25</v>
      </c>
      <c r="I16" s="109">
        <f>MAX(C16:H16)</f>
        <v/>
      </c>
      <c r="K16" s="113" t="n">
        <v>0</v>
      </c>
      <c r="L16" s="115">
        <f>C16-$L$1</f>
        <v/>
      </c>
      <c r="M16" s="115">
        <f>D16-$L$1</f>
        <v/>
      </c>
      <c r="N16" s="115">
        <f>E16-$L$1</f>
        <v/>
      </c>
      <c r="O16" s="115">
        <f>F16-$L$1</f>
        <v/>
      </c>
      <c r="P16" s="115">
        <f>G16-$L$1</f>
        <v/>
      </c>
      <c r="Q16" s="115">
        <f>H16-$L$1</f>
        <v/>
      </c>
      <c r="R16" s="116">
        <f>MAX(K16:Q16)</f>
        <v/>
      </c>
      <c r="S16" s="116">
        <f>IF(MAX(L16:Q16)&gt;=0,1,0)</f>
        <v/>
      </c>
      <c r="T16" s="117">
        <f>IF(S16=1,COUNTIF(L16:Q16,R16),0)</f>
        <v/>
      </c>
      <c r="V16" s="116">
        <f>IF(AND(S16=1,L16=R16),1/T16,0)</f>
        <v/>
      </c>
      <c r="W16" s="116">
        <f>IF(AND(S16=1,M16=R16),1/T16,0)</f>
        <v/>
      </c>
      <c r="X16" s="116">
        <f>IF(AND(S16=1,N16=R16),1/T16,0)</f>
        <v/>
      </c>
      <c r="Y16" s="116">
        <f>IF(AND(S16=1,O16=R16),1/T16,0)</f>
        <v/>
      </c>
      <c r="Z16" s="116">
        <f>IF(AND(S16=1,P16=R16),1/T16,0)</f>
        <v/>
      </c>
      <c r="AA16" s="116">
        <f>IF(AND(S16=1,Q16=R16),1/T16,0)</f>
        <v/>
      </c>
    </row>
    <row r="17" ht="21" customHeight="1">
      <c r="A17" s="197" t="n">
        <v>14</v>
      </c>
      <c r="B17" s="228" t="n">
        <v>0</v>
      </c>
      <c r="C17" s="195" t="n">
        <v>50</v>
      </c>
      <c r="D17" s="195" t="n">
        <v>75</v>
      </c>
      <c r="E17" s="195" t="n">
        <v>100</v>
      </c>
      <c r="F17" s="195" t="n">
        <v>100</v>
      </c>
      <c r="G17" s="195" t="n">
        <v>125</v>
      </c>
      <c r="H17" s="196" t="n">
        <v>100</v>
      </c>
      <c r="I17" s="109">
        <f>MAX(C17:H17)</f>
        <v/>
      </c>
      <c r="K17" s="113" t="n">
        <v>0</v>
      </c>
      <c r="L17" s="115">
        <f>C17-$L$1</f>
        <v/>
      </c>
      <c r="M17" s="115">
        <f>D17-$L$1</f>
        <v/>
      </c>
      <c r="N17" s="115">
        <f>E17-$L$1</f>
        <v/>
      </c>
      <c r="O17" s="115">
        <f>F17-$L$1</f>
        <v/>
      </c>
      <c r="P17" s="115">
        <f>G17-$L$1</f>
        <v/>
      </c>
      <c r="Q17" s="115">
        <f>H17-$L$1</f>
        <v/>
      </c>
      <c r="R17" s="116">
        <f>MAX(K17:Q17)</f>
        <v/>
      </c>
      <c r="S17" s="116">
        <f>IF(MAX(L17:Q17)&gt;=0,1,0)</f>
        <v/>
      </c>
      <c r="T17" s="117">
        <f>IF(S17=1,COUNTIF(L17:Q17,R17),0)</f>
        <v/>
      </c>
      <c r="V17" s="116">
        <f>IF(AND(S17=1,L17=R17),1/T17,0)</f>
        <v/>
      </c>
      <c r="W17" s="116">
        <f>IF(AND(S17=1,M17=R17),1/T17,0)</f>
        <v/>
      </c>
      <c r="X17" s="116">
        <f>IF(AND(S17=1,N17=R17),1/T17,0)</f>
        <v/>
      </c>
      <c r="Y17" s="116">
        <f>IF(AND(S17=1,O17=R17),1/T17,0)</f>
        <v/>
      </c>
      <c r="Z17" s="116">
        <f>IF(AND(S17=1,P17=R17),1/T17,0)</f>
        <v/>
      </c>
      <c r="AA17" s="116">
        <f>IF(AND(S17=1,Q17=R17),1/T17,0)</f>
        <v/>
      </c>
    </row>
    <row r="18" ht="21" customHeight="1">
      <c r="A18" s="197" t="n">
        <v>15</v>
      </c>
      <c r="B18" s="228" t="n">
        <v>0</v>
      </c>
      <c r="C18" s="195" t="n">
        <v>100</v>
      </c>
      <c r="D18" s="195" t="n">
        <v>125</v>
      </c>
      <c r="E18" s="195" t="n">
        <v>125</v>
      </c>
      <c r="F18" s="195" t="n">
        <v>125</v>
      </c>
      <c r="G18" s="195" t="n">
        <v>125</v>
      </c>
      <c r="H18" s="195" t="n">
        <v>100</v>
      </c>
      <c r="I18" s="198">
        <f>MAX(C18:H18)</f>
        <v/>
      </c>
      <c r="K18" s="113" t="n">
        <v>0</v>
      </c>
      <c r="L18" s="115">
        <f>C18-$L$1</f>
        <v/>
      </c>
      <c r="M18" s="115">
        <f>D18-$L$1</f>
        <v/>
      </c>
      <c r="N18" s="115">
        <f>E18-$L$1</f>
        <v/>
      </c>
      <c r="O18" s="115">
        <f>F18-$L$1</f>
        <v/>
      </c>
      <c r="P18" s="115">
        <f>G18-$L$1</f>
        <v/>
      </c>
      <c r="Q18" s="115">
        <f>H18-$L$1</f>
        <v/>
      </c>
      <c r="R18" s="116">
        <f>MAX(K18:Q18)</f>
        <v/>
      </c>
      <c r="S18" s="116">
        <f>IF(MAX(L18:Q18)&gt;=0,1,0)</f>
        <v/>
      </c>
      <c r="T18" s="117">
        <f>IF(S18=1,COUNTIF(L18:Q18,R18),0)</f>
        <v/>
      </c>
      <c r="V18" s="116">
        <f>IF(AND(S18=1,L18=R18),1/T18,0)</f>
        <v/>
      </c>
      <c r="W18" s="116">
        <f>IF(AND(S18=1,M18=R18),1/T18,0)</f>
        <v/>
      </c>
      <c r="X18" s="116">
        <f>IF(AND(S18=1,N18=R18),1/T18,0)</f>
        <v/>
      </c>
      <c r="Y18" s="116">
        <f>IF(AND(S18=1,O18=R18),1/T18,0)</f>
        <v/>
      </c>
      <c r="Z18" s="116">
        <f>IF(AND(S18=1,P18=R18),1/T18,0)</f>
        <v/>
      </c>
      <c r="AA18" s="116">
        <f>IF(AND(S18=1,Q18=R18),1/T18,0)</f>
        <v/>
      </c>
    </row>
    <row r="19" ht="21" customHeight="1">
      <c r="A19" s="197" t="n">
        <v>16</v>
      </c>
      <c r="B19" s="228" t="n">
        <v>0</v>
      </c>
      <c r="C19" s="195" t="n">
        <v>25</v>
      </c>
      <c r="D19" s="195" t="n">
        <v>25</v>
      </c>
      <c r="E19" s="195" t="n">
        <v>25</v>
      </c>
      <c r="F19" s="195" t="n">
        <v>25</v>
      </c>
      <c r="G19" s="195" t="n">
        <v>25</v>
      </c>
      <c r="H19" s="195" t="n">
        <v>25</v>
      </c>
      <c r="I19" s="198">
        <f>MAX(C19:H19)</f>
        <v/>
      </c>
      <c r="K19" s="113" t="n">
        <v>0</v>
      </c>
      <c r="L19" s="115">
        <f>C19-$L$1</f>
        <v/>
      </c>
      <c r="M19" s="115">
        <f>D19-$L$1</f>
        <v/>
      </c>
      <c r="N19" s="115">
        <f>E19-$L$1</f>
        <v/>
      </c>
      <c r="O19" s="115">
        <f>F19-$L$1</f>
        <v/>
      </c>
      <c r="P19" s="115">
        <f>G19-$L$1</f>
        <v/>
      </c>
      <c r="Q19" s="115">
        <f>H19-$L$1</f>
        <v/>
      </c>
      <c r="R19" s="116">
        <f>MAX(K19:Q19)</f>
        <v/>
      </c>
      <c r="S19" s="116">
        <f>IF(MAX(L19:Q19)&gt;=0,1,0)</f>
        <v/>
      </c>
      <c r="T19" s="117">
        <f>IF(S19=1,COUNTIF(L19:Q19,R19),0)</f>
        <v/>
      </c>
      <c r="V19" s="116">
        <f>IF(AND(S19=1,L19=R19),1/T19,0)</f>
        <v/>
      </c>
      <c r="W19" s="116">
        <f>IF(AND(S19=1,M19=R19),1/T19,0)</f>
        <v/>
      </c>
      <c r="X19" s="116">
        <f>IF(AND(S19=1,N19=R19),1/T19,0)</f>
        <v/>
      </c>
      <c r="Y19" s="116">
        <f>IF(AND(S19=1,O19=R19),1/T19,0)</f>
        <v/>
      </c>
      <c r="Z19" s="116">
        <f>IF(AND(S19=1,P19=R19),1/T19,0)</f>
        <v/>
      </c>
      <c r="AA19" s="116">
        <f>IF(AND(S19=1,Q19=R19),1/T19,0)</f>
        <v/>
      </c>
    </row>
    <row r="20" ht="21" customHeight="1">
      <c r="A20" s="197" t="n">
        <v>17</v>
      </c>
      <c r="B20" s="228" t="n">
        <v>0</v>
      </c>
      <c r="C20" s="195" t="n">
        <v>25</v>
      </c>
      <c r="D20" s="195" t="n">
        <v>50</v>
      </c>
      <c r="E20" s="195" t="n">
        <v>50</v>
      </c>
      <c r="F20" s="195" t="n">
        <v>50</v>
      </c>
      <c r="G20" s="195" t="n">
        <v>50</v>
      </c>
      <c r="H20" s="195" t="n">
        <v>25</v>
      </c>
      <c r="I20" s="198">
        <f>MAX(C20:H20)</f>
        <v/>
      </c>
      <c r="K20" s="113" t="n">
        <v>0</v>
      </c>
      <c r="L20" s="115">
        <f>C20-$L$1</f>
        <v/>
      </c>
      <c r="M20" s="115">
        <f>D20-$L$1</f>
        <v/>
      </c>
      <c r="N20" s="115">
        <f>E20-$L$1</f>
        <v/>
      </c>
      <c r="O20" s="115">
        <f>F20-$L$1</f>
        <v/>
      </c>
      <c r="P20" s="115">
        <f>G20-$L$1</f>
        <v/>
      </c>
      <c r="Q20" s="115">
        <f>H20-$L$1</f>
        <v/>
      </c>
      <c r="R20" s="116">
        <f>MAX(K20:Q20)</f>
        <v/>
      </c>
      <c r="S20" s="116">
        <f>IF(MAX(L20:Q20)&gt;=0,1,0)</f>
        <v/>
      </c>
      <c r="T20" s="117">
        <f>IF(S20=1,COUNTIF(L20:Q20,R20),0)</f>
        <v/>
      </c>
      <c r="V20" s="116">
        <f>IF(AND(S20=1,L20=R20),1/T20,0)</f>
        <v/>
      </c>
      <c r="W20" s="116">
        <f>IF(AND(S20=1,M20=R20),1/T20,0)</f>
        <v/>
      </c>
      <c r="X20" s="116">
        <f>IF(AND(S20=1,N20=R20),1/T20,0)</f>
        <v/>
      </c>
      <c r="Y20" s="116">
        <f>IF(AND(S20=1,O20=R20),1/T20,0)</f>
        <v/>
      </c>
      <c r="Z20" s="116">
        <f>IF(AND(S20=1,P20=R20),1/T20,0)</f>
        <v/>
      </c>
      <c r="AA20" s="116">
        <f>IF(AND(S20=1,Q20=R20),1/T20,0)</f>
        <v/>
      </c>
    </row>
    <row r="21" ht="21" customHeight="1">
      <c r="A21" s="197" t="n">
        <v>18</v>
      </c>
      <c r="B21" s="228" t="n">
        <v>0</v>
      </c>
      <c r="C21" s="195" t="n">
        <v>75</v>
      </c>
      <c r="D21" s="195" t="n">
        <v>50</v>
      </c>
      <c r="E21" s="195" t="n">
        <v>50</v>
      </c>
      <c r="F21" s="195" t="n">
        <v>50</v>
      </c>
      <c r="G21" s="195" t="n">
        <v>75</v>
      </c>
      <c r="H21" s="195" t="n">
        <v>50</v>
      </c>
      <c r="I21" s="198">
        <f>MAX(C21:H21)</f>
        <v/>
      </c>
      <c r="K21" s="113" t="n">
        <v>0</v>
      </c>
      <c r="L21" s="115">
        <f>C21-$L$1</f>
        <v/>
      </c>
      <c r="M21" s="115">
        <f>D21-$L$1</f>
        <v/>
      </c>
      <c r="N21" s="115">
        <f>E21-$L$1</f>
        <v/>
      </c>
      <c r="O21" s="115">
        <f>F21-$L$1</f>
        <v/>
      </c>
      <c r="P21" s="115">
        <f>G21-$L$1</f>
        <v/>
      </c>
      <c r="Q21" s="115">
        <f>H21-$L$1</f>
        <v/>
      </c>
      <c r="R21" s="116">
        <f>MAX(K21:Q21)</f>
        <v/>
      </c>
      <c r="S21" s="116">
        <f>IF(MAX(L21:Q21)&gt;=0,1,0)</f>
        <v/>
      </c>
      <c r="T21" s="117">
        <f>IF(S21=1,COUNTIF(L21:Q21,R21),0)</f>
        <v/>
      </c>
      <c r="V21" s="116">
        <f>IF(AND(S21=1,L21=R21),1/T21,0)</f>
        <v/>
      </c>
      <c r="W21" s="116">
        <f>IF(AND(S21=1,M21=R21),1/T21,0)</f>
        <v/>
      </c>
      <c r="X21" s="116">
        <f>IF(AND(S21=1,N21=R21),1/T21,0)</f>
        <v/>
      </c>
      <c r="Y21" s="116">
        <f>IF(AND(S21=1,O21=R21),1/T21,0)</f>
        <v/>
      </c>
      <c r="Z21" s="116">
        <f>IF(AND(S21=1,P21=R21),1/T21,0)</f>
        <v/>
      </c>
      <c r="AA21" s="116">
        <f>IF(AND(S21=1,Q21=R21),1/T21,0)</f>
        <v/>
      </c>
    </row>
    <row r="22" ht="21" customHeight="1">
      <c r="A22" s="197" t="n">
        <v>19</v>
      </c>
      <c r="B22" s="228" t="n">
        <v>0</v>
      </c>
      <c r="C22" s="195" t="n">
        <v>25</v>
      </c>
      <c r="D22" s="195" t="n">
        <v>75</v>
      </c>
      <c r="E22" s="195" t="n">
        <v>75</v>
      </c>
      <c r="F22" s="195" t="n">
        <v>75</v>
      </c>
      <c r="G22" s="195" t="n">
        <v>100</v>
      </c>
      <c r="H22" s="195" t="n">
        <v>100</v>
      </c>
      <c r="I22" s="198">
        <f>MAX(C22:H22)</f>
        <v/>
      </c>
      <c r="K22" s="113" t="n">
        <v>0</v>
      </c>
      <c r="L22" s="115">
        <f>C22-$L$1</f>
        <v/>
      </c>
      <c r="M22" s="115">
        <f>D22-$L$1</f>
        <v/>
      </c>
      <c r="N22" s="115">
        <f>E22-$L$1</f>
        <v/>
      </c>
      <c r="O22" s="115">
        <f>F22-$L$1</f>
        <v/>
      </c>
      <c r="P22" s="115">
        <f>G22-$L$1</f>
        <v/>
      </c>
      <c r="Q22" s="115">
        <f>H22-$L$1</f>
        <v/>
      </c>
      <c r="R22" s="116">
        <f>MAX(K22:Q22)</f>
        <v/>
      </c>
      <c r="S22" s="116">
        <f>IF(MAX(L22:Q22)&gt;=0,1,0)</f>
        <v/>
      </c>
      <c r="T22" s="117">
        <f>IF(S22=1,COUNTIF(L22:Q22,R22),0)</f>
        <v/>
      </c>
      <c r="V22" s="116">
        <f>IF(AND(S22=1,L22=R22),1/T22,0)</f>
        <v/>
      </c>
      <c r="W22" s="116">
        <f>IF(AND(S22=1,M22=R22),1/T22,0)</f>
        <v/>
      </c>
      <c r="X22" s="116">
        <f>IF(AND(S22=1,N22=R22),1/T22,0)</f>
        <v/>
      </c>
      <c r="Y22" s="116">
        <f>IF(AND(S22=1,O22=R22),1/T22,0)</f>
        <v/>
      </c>
      <c r="Z22" s="116">
        <f>IF(AND(S22=1,P22=R22),1/T22,0)</f>
        <v/>
      </c>
      <c r="AA22" s="116">
        <f>IF(AND(S22=1,Q22=R22),1/T22,0)</f>
        <v/>
      </c>
    </row>
    <row r="23" ht="21" customHeight="1">
      <c r="A23" s="197" t="n">
        <v>20</v>
      </c>
      <c r="B23" s="228" t="n">
        <v>0</v>
      </c>
      <c r="C23" s="195" t="n">
        <v>25</v>
      </c>
      <c r="D23" s="195" t="n">
        <v>25</v>
      </c>
      <c r="E23" s="195" t="n">
        <v>25</v>
      </c>
      <c r="F23" s="195" t="n">
        <v>25</v>
      </c>
      <c r="G23" s="195" t="n">
        <v>50</v>
      </c>
      <c r="H23" s="195" t="n">
        <v>25</v>
      </c>
      <c r="I23" s="198">
        <f>MAX(C23:H23)</f>
        <v/>
      </c>
      <c r="K23" s="113" t="n">
        <v>0</v>
      </c>
      <c r="L23" s="115">
        <f>C23-$L$1</f>
        <v/>
      </c>
      <c r="M23" s="115">
        <f>D23-$L$1</f>
        <v/>
      </c>
      <c r="N23" s="115">
        <f>E23-$L$1</f>
        <v/>
      </c>
      <c r="O23" s="115">
        <f>F23-$L$1</f>
        <v/>
      </c>
      <c r="P23" s="115">
        <f>G23-$L$1</f>
        <v/>
      </c>
      <c r="Q23" s="115">
        <f>H23-$L$1</f>
        <v/>
      </c>
      <c r="R23" s="116">
        <f>MAX(K23:Q23)</f>
        <v/>
      </c>
      <c r="S23" s="116">
        <f>IF(MAX(L23:Q23)&gt;=0,1,0)</f>
        <v/>
      </c>
      <c r="T23" s="117">
        <f>IF(S23=1,COUNTIF(L23:Q23,R23),0)</f>
        <v/>
      </c>
      <c r="V23" s="116">
        <f>IF(AND(S23=1,L23=R23),1/T23,0)</f>
        <v/>
      </c>
      <c r="W23" s="116">
        <f>IF(AND(S23=1,M23=R23),1/T23,0)</f>
        <v/>
      </c>
      <c r="X23" s="116">
        <f>IF(AND(S23=1,N23=R23),1/T23,0)</f>
        <v/>
      </c>
      <c r="Y23" s="116">
        <f>IF(AND(S23=1,O23=R23),1/T23,0)</f>
        <v/>
      </c>
      <c r="Z23" s="116">
        <f>IF(AND(S23=1,P23=R23),1/T23,0)</f>
        <v/>
      </c>
      <c r="AA23" s="116">
        <f>IF(AND(S23=1,Q23=R23),1/T23,0)</f>
        <v/>
      </c>
    </row>
    <row r="24" ht="21" customHeight="1">
      <c r="A24" s="197" t="n">
        <v>21</v>
      </c>
      <c r="B24" s="228" t="n">
        <v>0</v>
      </c>
      <c r="C24" s="195" t="n">
        <v>75</v>
      </c>
      <c r="D24" s="195" t="n">
        <v>75</v>
      </c>
      <c r="E24" s="195" t="n">
        <v>125</v>
      </c>
      <c r="F24" s="195" t="n">
        <v>125</v>
      </c>
      <c r="G24" s="195" t="n">
        <v>125</v>
      </c>
      <c r="H24" s="195" t="n">
        <v>100</v>
      </c>
      <c r="I24" s="198">
        <f>MAX(C24:H24)</f>
        <v/>
      </c>
      <c r="K24" s="113" t="n">
        <v>0</v>
      </c>
      <c r="L24" s="115">
        <f>C24-$L$1</f>
        <v/>
      </c>
      <c r="M24" s="115">
        <f>D24-$L$1</f>
        <v/>
      </c>
      <c r="N24" s="115">
        <f>E24-$L$1</f>
        <v/>
      </c>
      <c r="O24" s="115">
        <f>F24-$L$1</f>
        <v/>
      </c>
      <c r="P24" s="115">
        <f>G24-$L$1</f>
        <v/>
      </c>
      <c r="Q24" s="115">
        <f>H24-$L$1</f>
        <v/>
      </c>
      <c r="R24" s="116">
        <f>MAX(K24:Q24)</f>
        <v/>
      </c>
      <c r="S24" s="116">
        <f>IF(MAX(L24:Q24)&gt;=0,1,0)</f>
        <v/>
      </c>
      <c r="T24" s="117">
        <f>IF(S24=1,COUNTIF(L24:Q24,R24),0)</f>
        <v/>
      </c>
      <c r="V24" s="116">
        <f>IF(AND(S24=1,L24=R24),1/T24,0)</f>
        <v/>
      </c>
      <c r="W24" s="116">
        <f>IF(AND(S24=1,M24=R24),1/T24,0)</f>
        <v/>
      </c>
      <c r="X24" s="116">
        <f>IF(AND(S24=1,N24=R24),1/T24,0)</f>
        <v/>
      </c>
      <c r="Y24" s="116">
        <f>IF(AND(S24=1,O24=R24),1/T24,0)</f>
        <v/>
      </c>
      <c r="Z24" s="116">
        <f>IF(AND(S24=1,P24=R24),1/T24,0)</f>
        <v/>
      </c>
      <c r="AA24" s="116">
        <f>IF(AND(S24=1,Q24=R24),1/T24,0)</f>
        <v/>
      </c>
    </row>
    <row r="25" ht="21" customHeight="1">
      <c r="A25" s="197" t="n">
        <v>22</v>
      </c>
      <c r="B25" s="228" t="n">
        <v>0</v>
      </c>
      <c r="C25" s="195" t="n">
        <v>25</v>
      </c>
      <c r="D25" s="195" t="n">
        <v>25</v>
      </c>
      <c r="E25" s="195" t="n">
        <v>25</v>
      </c>
      <c r="F25" s="195" t="n">
        <v>25</v>
      </c>
      <c r="G25" s="195" t="n">
        <v>100</v>
      </c>
      <c r="H25" s="196" t="n">
        <v>25</v>
      </c>
      <c r="I25" s="109">
        <f>MAX(C25:H25)</f>
        <v/>
      </c>
      <c r="K25" s="113" t="n">
        <v>0</v>
      </c>
      <c r="L25" s="115">
        <f>C25-$L$1</f>
        <v/>
      </c>
      <c r="M25" s="115">
        <f>D25-$L$1</f>
        <v/>
      </c>
      <c r="N25" s="115">
        <f>E25-$L$1</f>
        <v/>
      </c>
      <c r="O25" s="115">
        <f>F25-$L$1</f>
        <v/>
      </c>
      <c r="P25" s="115">
        <f>G25-$L$1</f>
        <v/>
      </c>
      <c r="Q25" s="115">
        <f>H25-$L$1</f>
        <v/>
      </c>
      <c r="R25" s="116">
        <f>MAX(K25:Q25)</f>
        <v/>
      </c>
      <c r="S25" s="116">
        <f>IF(MAX(L25:Q25)&gt;=0,1,0)</f>
        <v/>
      </c>
      <c r="T25" s="117">
        <f>IF(S25=1,COUNTIF(L25:Q25,R25),0)</f>
        <v/>
      </c>
      <c r="V25" s="116">
        <f>IF(AND(S25=1,L25=R25),1/T25,0)</f>
        <v/>
      </c>
      <c r="W25" s="116">
        <f>IF(AND(S25=1,M25=R25),1/T25,0)</f>
        <v/>
      </c>
      <c r="X25" s="116">
        <f>IF(AND(S25=1,N25=R25),1/T25,0)</f>
        <v/>
      </c>
      <c r="Y25" s="116">
        <f>IF(AND(S25=1,O25=R25),1/T25,0)</f>
        <v/>
      </c>
      <c r="Z25" s="116">
        <f>IF(AND(S25=1,P25=R25),1/T25,0)</f>
        <v/>
      </c>
      <c r="AA25" s="116">
        <f>IF(AND(S25=1,Q25=R25),1/T25,0)</f>
        <v/>
      </c>
    </row>
    <row r="26" ht="21" customHeight="1">
      <c r="A26" s="197" t="n">
        <v>23</v>
      </c>
      <c r="B26" s="228" t="n">
        <v>1</v>
      </c>
      <c r="C26" s="195" t="n">
        <v>25</v>
      </c>
      <c r="D26" s="195" t="n">
        <v>25</v>
      </c>
      <c r="E26" s="195" t="n">
        <v>25</v>
      </c>
      <c r="F26" s="195" t="n">
        <v>25</v>
      </c>
      <c r="G26" s="195" t="n">
        <v>25</v>
      </c>
      <c r="H26" s="196" t="n">
        <v>25</v>
      </c>
      <c r="I26" s="109">
        <f>MAX(C26:H26)</f>
        <v/>
      </c>
      <c r="K26" s="113" t="n">
        <v>0</v>
      </c>
      <c r="L26" s="115">
        <f>C26-$L$1</f>
        <v/>
      </c>
      <c r="M26" s="115">
        <f>D26-$L$1</f>
        <v/>
      </c>
      <c r="N26" s="115">
        <f>E26-$L$1</f>
        <v/>
      </c>
      <c r="O26" s="115">
        <f>F26-$L$1</f>
        <v/>
      </c>
      <c r="P26" s="115">
        <f>G26-$L$1</f>
        <v/>
      </c>
      <c r="Q26" s="115">
        <f>H26-$L$1</f>
        <v/>
      </c>
      <c r="R26" s="116">
        <f>MAX(K26:Q26)</f>
        <v/>
      </c>
      <c r="S26" s="116">
        <f>IF(MAX(L26:Q26)&gt;=0,1,0)</f>
        <v/>
      </c>
      <c r="T26" s="117">
        <f>IF(S26=1,COUNTIF(L26:Q26,R26),0)</f>
        <v/>
      </c>
      <c r="V26" s="116">
        <f>IF(AND(S26=1,L26=R26),1/T26,0)</f>
        <v/>
      </c>
      <c r="W26" s="116">
        <f>IF(AND(S26=1,M26=R26),1/T26,0)</f>
        <v/>
      </c>
      <c r="X26" s="116">
        <f>IF(AND(S26=1,N26=R26),1/T26,0)</f>
        <v/>
      </c>
      <c r="Y26" s="116">
        <f>IF(AND(S26=1,O26=R26),1/T26,0)</f>
        <v/>
      </c>
      <c r="Z26" s="116">
        <f>IF(AND(S26=1,P26=R26),1/T26,0)</f>
        <v/>
      </c>
      <c r="AA26" s="116">
        <f>IF(AND(S26=1,Q26=R26),1/T26,0)</f>
        <v/>
      </c>
    </row>
    <row r="27" ht="21" customHeight="1">
      <c r="A27" s="197" t="n">
        <v>24</v>
      </c>
      <c r="B27" s="228" t="n">
        <v>0</v>
      </c>
      <c r="C27" s="195" t="n">
        <v>25</v>
      </c>
      <c r="D27" s="195" t="n">
        <v>25</v>
      </c>
      <c r="E27" s="195" t="n">
        <v>25</v>
      </c>
      <c r="F27" s="195" t="n">
        <v>25</v>
      </c>
      <c r="G27" s="195" t="n">
        <v>25</v>
      </c>
      <c r="H27" s="196" t="n">
        <v>25</v>
      </c>
      <c r="I27" s="109">
        <f>MAX(C27:H27)</f>
        <v/>
      </c>
      <c r="K27" s="113" t="n">
        <v>0</v>
      </c>
      <c r="L27" s="115">
        <f>C27-$L$1</f>
        <v/>
      </c>
      <c r="M27" s="115">
        <f>D27-$L$1</f>
        <v/>
      </c>
      <c r="N27" s="115">
        <f>E27-$L$1</f>
        <v/>
      </c>
      <c r="O27" s="115">
        <f>F27-$L$1</f>
        <v/>
      </c>
      <c r="P27" s="115">
        <f>G27-$L$1</f>
        <v/>
      </c>
      <c r="Q27" s="115">
        <f>H27-$L$1</f>
        <v/>
      </c>
      <c r="R27" s="116">
        <f>MAX(K27:Q27)</f>
        <v/>
      </c>
      <c r="S27" s="116">
        <f>IF(MAX(L27:Q27)&gt;=0,1,0)</f>
        <v/>
      </c>
      <c r="T27" s="117">
        <f>IF(S27=1,COUNTIF(L27:Q27,R27),0)</f>
        <v/>
      </c>
      <c r="V27" s="116">
        <f>IF(AND(S27=1,L27=R27),1/T27,0)</f>
        <v/>
      </c>
      <c r="W27" s="116">
        <f>IF(AND(S27=1,M27=R27),1/T27,0)</f>
        <v/>
      </c>
      <c r="X27" s="116">
        <f>IF(AND(S27=1,N27=R27),1/T27,0)</f>
        <v/>
      </c>
      <c r="Y27" s="116">
        <f>IF(AND(S27=1,O27=R27),1/T27,0)</f>
        <v/>
      </c>
      <c r="Z27" s="116">
        <f>IF(AND(S27=1,P27=R27),1/T27,0)</f>
        <v/>
      </c>
      <c r="AA27" s="116">
        <f>IF(AND(S27=1,Q27=R27),1/T27,0)</f>
        <v/>
      </c>
    </row>
    <row r="28" ht="21" customHeight="1">
      <c r="A28" s="197" t="n">
        <v>25</v>
      </c>
      <c r="B28" s="228" t="n">
        <v>0</v>
      </c>
      <c r="C28" s="195" t="n">
        <v>75</v>
      </c>
      <c r="D28" s="195" t="n">
        <v>75</v>
      </c>
      <c r="E28" s="195" t="n">
        <v>75</v>
      </c>
      <c r="F28" s="195" t="n">
        <v>75</v>
      </c>
      <c r="G28" s="195" t="n">
        <v>75</v>
      </c>
      <c r="H28" s="196" t="n">
        <v>75</v>
      </c>
      <c r="I28" s="109">
        <f>MAX(C28:H28)</f>
        <v/>
      </c>
      <c r="K28" s="113" t="n">
        <v>0</v>
      </c>
      <c r="L28" s="115">
        <f>C28-$L$1</f>
        <v/>
      </c>
      <c r="M28" s="115">
        <f>D28-$L$1</f>
        <v/>
      </c>
      <c r="N28" s="115">
        <f>E28-$L$1</f>
        <v/>
      </c>
      <c r="O28" s="115">
        <f>F28-$L$1</f>
        <v/>
      </c>
      <c r="P28" s="115">
        <f>G28-$L$1</f>
        <v/>
      </c>
      <c r="Q28" s="115">
        <f>H28-$L$1</f>
        <v/>
      </c>
      <c r="R28" s="116">
        <f>MAX(K28:Q28)</f>
        <v/>
      </c>
      <c r="S28" s="116">
        <f>IF(MAX(L28:Q28)&gt;=0,1,0)</f>
        <v/>
      </c>
      <c r="T28" s="117">
        <f>IF(S28=1,COUNTIF(L28:Q28,R28),0)</f>
        <v/>
      </c>
      <c r="V28" s="116">
        <f>IF(AND(S28=1,L28=R28),1/T28,0)</f>
        <v/>
      </c>
      <c r="W28" s="116">
        <f>IF(AND(S28=1,M28=R28),1/T28,0)</f>
        <v/>
      </c>
      <c r="X28" s="116">
        <f>IF(AND(S28=1,N28=R28),1/T28,0)</f>
        <v/>
      </c>
      <c r="Y28" s="116">
        <f>IF(AND(S28=1,O28=R28),1/T28,0)</f>
        <v/>
      </c>
      <c r="Z28" s="116">
        <f>IF(AND(S28=1,P28=R28),1/T28,0)</f>
        <v/>
      </c>
      <c r="AA28" s="116">
        <f>IF(AND(S28=1,Q28=R28),1/T28,0)</f>
        <v/>
      </c>
    </row>
    <row r="29" ht="21" customHeight="1">
      <c r="A29" s="197" t="n">
        <v>26</v>
      </c>
      <c r="B29" s="228" t="n">
        <v>1</v>
      </c>
      <c r="C29" s="195" t="n">
        <v>25</v>
      </c>
      <c r="D29" s="195" t="n">
        <v>25</v>
      </c>
      <c r="E29" s="195" t="n">
        <v>25</v>
      </c>
      <c r="F29" s="195" t="n">
        <v>25</v>
      </c>
      <c r="G29" s="195" t="n">
        <v>50</v>
      </c>
      <c r="H29" s="196" t="n">
        <v>50</v>
      </c>
      <c r="I29" s="109">
        <f>MAX(C29:H29)</f>
        <v/>
      </c>
      <c r="K29" s="113" t="n">
        <v>0</v>
      </c>
      <c r="L29" s="115">
        <f>C29-$L$1</f>
        <v/>
      </c>
      <c r="M29" s="115">
        <f>D29-$L$1</f>
        <v/>
      </c>
      <c r="N29" s="115">
        <f>E29-$L$1</f>
        <v/>
      </c>
      <c r="O29" s="115">
        <f>F29-$L$1</f>
        <v/>
      </c>
      <c r="P29" s="115">
        <f>G29-$L$1</f>
        <v/>
      </c>
      <c r="Q29" s="115">
        <f>H29-$L$1</f>
        <v/>
      </c>
      <c r="R29" s="116">
        <f>MAX(K29:Q29)</f>
        <v/>
      </c>
      <c r="S29" s="116">
        <f>IF(MAX(L29:Q29)&gt;=0,1,0)</f>
        <v/>
      </c>
      <c r="T29" s="117">
        <f>IF(S29=1,COUNTIF(L29:Q29,R29),0)</f>
        <v/>
      </c>
      <c r="V29" s="116">
        <f>IF(AND(S29=1,L29=R29),1/T29,0)</f>
        <v/>
      </c>
      <c r="W29" s="116">
        <f>IF(AND(S29=1,M29=R29),1/T29,0)</f>
        <v/>
      </c>
      <c r="X29" s="116">
        <f>IF(AND(S29=1,N29=R29),1/T29,0)</f>
        <v/>
      </c>
      <c r="Y29" s="116">
        <f>IF(AND(S29=1,O29=R29),1/T29,0)</f>
        <v/>
      </c>
      <c r="Z29" s="116">
        <f>IF(AND(S29=1,P29=R29),1/T29,0)</f>
        <v/>
      </c>
      <c r="AA29" s="116">
        <f>IF(AND(S29=1,Q29=R29),1/T29,0)</f>
        <v/>
      </c>
    </row>
    <row r="30" ht="21" customHeight="1">
      <c r="A30" s="197" t="n">
        <v>27</v>
      </c>
      <c r="B30" s="228" t="n">
        <v>0</v>
      </c>
      <c r="C30" s="195" t="n">
        <v>100</v>
      </c>
      <c r="D30" s="195" t="n">
        <v>100</v>
      </c>
      <c r="E30" s="195" t="n">
        <v>100</v>
      </c>
      <c r="F30" s="195" t="n">
        <v>100</v>
      </c>
      <c r="G30" s="195" t="n">
        <v>100</v>
      </c>
      <c r="H30" s="196" t="n">
        <v>100</v>
      </c>
      <c r="I30" s="109">
        <f>MAX(C30:H30)</f>
        <v/>
      </c>
      <c r="K30" s="113" t="n">
        <v>0</v>
      </c>
      <c r="L30" s="115">
        <f>C30-$L$1</f>
        <v/>
      </c>
      <c r="M30" s="115">
        <f>D30-$L$1</f>
        <v/>
      </c>
      <c r="N30" s="115">
        <f>E30-$L$1</f>
        <v/>
      </c>
      <c r="O30" s="115">
        <f>F30-$L$1</f>
        <v/>
      </c>
      <c r="P30" s="115">
        <f>G30-$L$1</f>
        <v/>
      </c>
      <c r="Q30" s="115">
        <f>H30-$L$1</f>
        <v/>
      </c>
      <c r="R30" s="116">
        <f>MAX(K30:Q30)</f>
        <v/>
      </c>
      <c r="S30" s="116">
        <f>IF(MAX(L30:Q30)&gt;=0,1,0)</f>
        <v/>
      </c>
      <c r="T30" s="117">
        <f>IF(S30=1,COUNTIF(L30:Q30,R30),0)</f>
        <v/>
      </c>
      <c r="V30" s="116">
        <f>IF(AND(S30=1,L30=R30),1/T30,0)</f>
        <v/>
      </c>
      <c r="W30" s="116">
        <f>IF(AND(S30=1,M30=R30),1/T30,0)</f>
        <v/>
      </c>
      <c r="X30" s="116">
        <f>IF(AND(S30=1,N30=R30),1/T30,0)</f>
        <v/>
      </c>
      <c r="Y30" s="116">
        <f>IF(AND(S30=1,O30=R30),1/T30,0)</f>
        <v/>
      </c>
      <c r="Z30" s="116">
        <f>IF(AND(S30=1,P30=R30),1/T30,0)</f>
        <v/>
      </c>
      <c r="AA30" s="116">
        <f>IF(AND(S30=1,Q30=R30),1/T30,0)</f>
        <v/>
      </c>
    </row>
    <row r="31" ht="21" customHeight="1">
      <c r="A31" s="197" t="n">
        <v>28</v>
      </c>
      <c r="B31" s="228" t="n">
        <v>1</v>
      </c>
      <c r="C31" s="195" t="n">
        <v>75</v>
      </c>
      <c r="D31" s="195" t="n">
        <v>75</v>
      </c>
      <c r="E31" s="195" t="n">
        <v>75</v>
      </c>
      <c r="F31" s="195" t="n">
        <v>75</v>
      </c>
      <c r="G31" s="195" t="n">
        <v>75</v>
      </c>
      <c r="H31" s="196" t="n">
        <v>75</v>
      </c>
      <c r="I31" s="109">
        <f>MAX(C31:H31)</f>
        <v/>
      </c>
      <c r="K31" s="113" t="n">
        <v>0</v>
      </c>
      <c r="L31" s="115">
        <f>C31-$L$1</f>
        <v/>
      </c>
      <c r="M31" s="115">
        <f>D31-$L$1</f>
        <v/>
      </c>
      <c r="N31" s="115">
        <f>E31-$L$1</f>
        <v/>
      </c>
      <c r="O31" s="115">
        <f>F31-$L$1</f>
        <v/>
      </c>
      <c r="P31" s="115">
        <f>G31-$L$1</f>
        <v/>
      </c>
      <c r="Q31" s="115">
        <f>H31-$L$1</f>
        <v/>
      </c>
      <c r="R31" s="116">
        <f>MAX(K31:Q31)</f>
        <v/>
      </c>
      <c r="S31" s="116">
        <f>IF(MAX(L31:Q31)&gt;=0,1,0)</f>
        <v/>
      </c>
      <c r="T31" s="117">
        <f>IF(S31=1,COUNTIF(L31:Q31,R31),0)</f>
        <v/>
      </c>
      <c r="V31" s="116">
        <f>IF(AND(S31=1,L31=R31),1/T31,0)</f>
        <v/>
      </c>
      <c r="W31" s="116">
        <f>IF(AND(S31=1,M31=R31),1/T31,0)</f>
        <v/>
      </c>
      <c r="X31" s="116">
        <f>IF(AND(S31=1,N31=R31),1/T31,0)</f>
        <v/>
      </c>
      <c r="Y31" s="116">
        <f>IF(AND(S31=1,O31=R31),1/T31,0)</f>
        <v/>
      </c>
      <c r="Z31" s="116">
        <f>IF(AND(S31=1,P31=R31),1/T31,0)</f>
        <v/>
      </c>
      <c r="AA31" s="116">
        <f>IF(AND(S31=1,Q31=R31),1/T31,0)</f>
        <v/>
      </c>
    </row>
    <row r="32" ht="21" customHeight="1">
      <c r="A32" s="197" t="n">
        <v>29</v>
      </c>
      <c r="B32" s="228" t="n">
        <v>1</v>
      </c>
      <c r="C32" s="195" t="n">
        <v>25</v>
      </c>
      <c r="D32" s="195" t="n">
        <v>25</v>
      </c>
      <c r="E32" s="195" t="n">
        <v>25</v>
      </c>
      <c r="F32" s="195" t="n">
        <v>25</v>
      </c>
      <c r="G32" s="195" t="n">
        <v>25</v>
      </c>
      <c r="H32" s="196" t="n">
        <v>25</v>
      </c>
      <c r="I32" s="109">
        <f>MAX(C32:H32)</f>
        <v/>
      </c>
      <c r="K32" s="113" t="n">
        <v>0</v>
      </c>
      <c r="L32" s="115">
        <f>C32-$L$1</f>
        <v/>
      </c>
      <c r="M32" s="115">
        <f>D32-$L$1</f>
        <v/>
      </c>
      <c r="N32" s="115">
        <f>E32-$L$1</f>
        <v/>
      </c>
      <c r="O32" s="115">
        <f>F32-$L$1</f>
        <v/>
      </c>
      <c r="P32" s="115">
        <f>G32-$L$1</f>
        <v/>
      </c>
      <c r="Q32" s="115">
        <f>H32-$L$1</f>
        <v/>
      </c>
      <c r="R32" s="116">
        <f>MAX(K32:Q32)</f>
        <v/>
      </c>
      <c r="S32" s="116">
        <f>IF(MAX(L32:Q32)&gt;=0,1,0)</f>
        <v/>
      </c>
      <c r="T32" s="117">
        <f>IF(S32=1,COUNTIF(L32:Q32,R32),0)</f>
        <v/>
      </c>
      <c r="V32" s="116">
        <f>IF(AND(S32=1,L32=R32),1/T32,0)</f>
        <v/>
      </c>
      <c r="W32" s="116">
        <f>IF(AND(S32=1,M32=R32),1/T32,0)</f>
        <v/>
      </c>
      <c r="X32" s="116">
        <f>IF(AND(S32=1,N32=R32),1/T32,0)</f>
        <v/>
      </c>
      <c r="Y32" s="116">
        <f>IF(AND(S32=1,O32=R32),1/T32,0)</f>
        <v/>
      </c>
      <c r="Z32" s="116">
        <f>IF(AND(S32=1,P32=R32),1/T32,0)</f>
        <v/>
      </c>
      <c r="AA32" s="116">
        <f>IF(AND(S32=1,Q32=R32),1/T32,0)</f>
        <v/>
      </c>
    </row>
    <row r="33" ht="21" customHeight="1">
      <c r="A33" s="197" t="n">
        <v>30</v>
      </c>
      <c r="B33" s="228" t="n">
        <v>1</v>
      </c>
      <c r="C33" s="195" t="n">
        <v>50</v>
      </c>
      <c r="D33" s="195" t="n">
        <v>25</v>
      </c>
      <c r="E33" s="195" t="n">
        <v>25</v>
      </c>
      <c r="F33" s="195" t="n">
        <v>25</v>
      </c>
      <c r="G33" s="195" t="n">
        <v>50</v>
      </c>
      <c r="H33" s="196" t="n">
        <v>25</v>
      </c>
      <c r="I33" s="109">
        <f>MAX(C33:H33)</f>
        <v/>
      </c>
      <c r="K33" s="113" t="n">
        <v>0</v>
      </c>
      <c r="L33" s="115">
        <f>C33-$L$1</f>
        <v/>
      </c>
      <c r="M33" s="115">
        <f>D33-$L$1</f>
        <v/>
      </c>
      <c r="N33" s="115">
        <f>E33-$L$1</f>
        <v/>
      </c>
      <c r="O33" s="115">
        <f>F33-$L$1</f>
        <v/>
      </c>
      <c r="P33" s="115">
        <f>G33-$L$1</f>
        <v/>
      </c>
      <c r="Q33" s="115">
        <f>H33-$L$1</f>
        <v/>
      </c>
      <c r="R33" s="116">
        <f>MAX(K33:Q33)</f>
        <v/>
      </c>
      <c r="S33" s="116">
        <f>IF(MAX(L33:Q33)&gt;=0,1,0)</f>
        <v/>
      </c>
      <c r="T33" s="117">
        <f>IF(S33=1,COUNTIF(L33:Q33,R33),0)</f>
        <v/>
      </c>
      <c r="V33" s="116">
        <f>IF(AND(S33=1,L33=R33),1/T33,0)</f>
        <v/>
      </c>
      <c r="W33" s="116">
        <f>IF(AND(S33=1,M33=R33),1/T33,0)</f>
        <v/>
      </c>
      <c r="X33" s="116">
        <f>IF(AND(S33=1,N33=R33),1/T33,0)</f>
        <v/>
      </c>
      <c r="Y33" s="116">
        <f>IF(AND(S33=1,O33=R33),1/T33,0)</f>
        <v/>
      </c>
      <c r="Z33" s="116">
        <f>IF(AND(S33=1,P33=R33),1/T33,0)</f>
        <v/>
      </c>
      <c r="AA33" s="116">
        <f>IF(AND(S33=1,Q33=R33),1/T33,0)</f>
        <v/>
      </c>
    </row>
    <row r="34" ht="21" customHeight="1">
      <c r="A34" s="197" t="n">
        <v>31</v>
      </c>
      <c r="B34" s="228" t="n">
        <v>0</v>
      </c>
      <c r="C34" s="195" t="n">
        <v>50</v>
      </c>
      <c r="D34" s="195" t="n">
        <v>50</v>
      </c>
      <c r="E34" s="195" t="n">
        <v>50</v>
      </c>
      <c r="F34" s="195" t="n">
        <v>50</v>
      </c>
      <c r="G34" s="195" t="n">
        <v>50</v>
      </c>
      <c r="H34" s="196" t="n">
        <v>50</v>
      </c>
      <c r="I34" s="109">
        <f>MAX(C34:H34)</f>
        <v/>
      </c>
      <c r="K34" s="113" t="n">
        <v>0</v>
      </c>
      <c r="L34" s="115">
        <f>C34-$L$1</f>
        <v/>
      </c>
      <c r="M34" s="115">
        <f>D34-$L$1</f>
        <v/>
      </c>
      <c r="N34" s="115">
        <f>E34-$L$1</f>
        <v/>
      </c>
      <c r="O34" s="115">
        <f>F34-$L$1</f>
        <v/>
      </c>
      <c r="P34" s="115">
        <f>G34-$L$1</f>
        <v/>
      </c>
      <c r="Q34" s="115">
        <f>H34-$L$1</f>
        <v/>
      </c>
      <c r="R34" s="116">
        <f>MAX(K34:Q34)</f>
        <v/>
      </c>
      <c r="S34" s="116">
        <f>IF(MAX(L34:Q34)&gt;=0,1,0)</f>
        <v/>
      </c>
      <c r="T34" s="117">
        <f>IF(S34=1,COUNTIF(L34:Q34,R34),0)</f>
        <v/>
      </c>
      <c r="V34" s="116">
        <f>IF(AND(S34=1,L34=R34),1/T34,0)</f>
        <v/>
      </c>
      <c r="W34" s="116">
        <f>IF(AND(S34=1,M34=R34),1/T34,0)</f>
        <v/>
      </c>
      <c r="X34" s="116">
        <f>IF(AND(S34=1,N34=R34),1/T34,0)</f>
        <v/>
      </c>
      <c r="Y34" s="116">
        <f>IF(AND(S34=1,O34=R34),1/T34,0)</f>
        <v/>
      </c>
      <c r="Z34" s="116">
        <f>IF(AND(S34=1,P34=R34),1/T34,0)</f>
        <v/>
      </c>
      <c r="AA34" s="116">
        <f>IF(AND(S34=1,Q34=R34),1/T34,0)</f>
        <v/>
      </c>
    </row>
    <row r="35" ht="21" customHeight="1">
      <c r="A35" s="197" t="n">
        <v>32</v>
      </c>
      <c r="B35" s="228" t="n">
        <v>0</v>
      </c>
      <c r="C35" s="195" t="n">
        <v>50</v>
      </c>
      <c r="D35" s="195" t="n">
        <v>50</v>
      </c>
      <c r="E35" s="195" t="n">
        <v>50</v>
      </c>
      <c r="F35" s="195" t="n">
        <v>50</v>
      </c>
      <c r="G35" s="195" t="n">
        <v>75</v>
      </c>
      <c r="H35" s="196" t="n">
        <v>50</v>
      </c>
      <c r="I35" s="109">
        <f>MAX(C35:H35)</f>
        <v/>
      </c>
      <c r="K35" s="113" t="n">
        <v>0</v>
      </c>
      <c r="L35" s="115">
        <f>C35-$L$1</f>
        <v/>
      </c>
      <c r="M35" s="115">
        <f>D35-$L$1</f>
        <v/>
      </c>
      <c r="N35" s="115">
        <f>E35-$L$1</f>
        <v/>
      </c>
      <c r="O35" s="115">
        <f>F35-$L$1</f>
        <v/>
      </c>
      <c r="P35" s="115">
        <f>G35-$L$1</f>
        <v/>
      </c>
      <c r="Q35" s="115">
        <f>H35-$L$1</f>
        <v/>
      </c>
      <c r="R35" s="116">
        <f>MAX(K35:Q35)</f>
        <v/>
      </c>
      <c r="S35" s="116">
        <f>IF(MAX(L35:Q35)&gt;=0,1,0)</f>
        <v/>
      </c>
      <c r="T35" s="117">
        <f>IF(S35=1,COUNTIF(L35:Q35,R35),0)</f>
        <v/>
      </c>
      <c r="V35" s="116">
        <f>IF(AND(S35=1,L35=R35),1/T35,0)</f>
        <v/>
      </c>
      <c r="W35" s="116">
        <f>IF(AND(S35=1,M35=R35),1/T35,0)</f>
        <v/>
      </c>
      <c r="X35" s="116">
        <f>IF(AND(S35=1,N35=R35),1/T35,0)</f>
        <v/>
      </c>
      <c r="Y35" s="116">
        <f>IF(AND(S35=1,O35=R35),1/T35,0)</f>
        <v/>
      </c>
      <c r="Z35" s="116">
        <f>IF(AND(S35=1,P35=R35),1/T35,0)</f>
        <v/>
      </c>
      <c r="AA35" s="116">
        <f>IF(AND(S35=1,Q35=R35),1/T35,0)</f>
        <v/>
      </c>
    </row>
    <row r="36" ht="21" customHeight="1">
      <c r="A36" s="197" t="n">
        <v>33</v>
      </c>
      <c r="B36" s="228" t="n">
        <v>0</v>
      </c>
      <c r="C36" s="195" t="n">
        <v>50</v>
      </c>
      <c r="D36" s="195" t="n">
        <v>25</v>
      </c>
      <c r="E36" s="195" t="n">
        <v>25</v>
      </c>
      <c r="F36" s="195" t="n">
        <v>25</v>
      </c>
      <c r="G36" s="195" t="n">
        <v>50</v>
      </c>
      <c r="H36" s="196" t="n">
        <v>25</v>
      </c>
      <c r="I36" s="109">
        <f>MAX(C36:H36)</f>
        <v/>
      </c>
      <c r="K36" s="113" t="n">
        <v>0</v>
      </c>
      <c r="L36" s="115">
        <f>C36-$L$1</f>
        <v/>
      </c>
      <c r="M36" s="115">
        <f>D36-$L$1</f>
        <v/>
      </c>
      <c r="N36" s="115">
        <f>E36-$L$1</f>
        <v/>
      </c>
      <c r="O36" s="115">
        <f>F36-$L$1</f>
        <v/>
      </c>
      <c r="P36" s="115">
        <f>G36-$L$1</f>
        <v/>
      </c>
      <c r="Q36" s="115">
        <f>H36-$L$1</f>
        <v/>
      </c>
      <c r="R36" s="116">
        <f>MAX(K36:Q36)</f>
        <v/>
      </c>
      <c r="S36" s="116">
        <f>IF(MAX(L36:Q36)&gt;=0,1,0)</f>
        <v/>
      </c>
      <c r="T36" s="117">
        <f>IF(S36=1,COUNTIF(L36:Q36,R36),0)</f>
        <v/>
      </c>
      <c r="V36" s="116">
        <f>IF(AND(S36=1,L36=R36),1/T36,0)</f>
        <v/>
      </c>
      <c r="W36" s="116">
        <f>IF(AND(S36=1,M36=R36),1/T36,0)</f>
        <v/>
      </c>
      <c r="X36" s="116">
        <f>IF(AND(S36=1,N36=R36),1/T36,0)</f>
        <v/>
      </c>
      <c r="Y36" s="116">
        <f>IF(AND(S36=1,O36=R36),1/T36,0)</f>
        <v/>
      </c>
      <c r="Z36" s="116">
        <f>IF(AND(S36=1,P36=R36),1/T36,0)</f>
        <v/>
      </c>
      <c r="AA36" s="116">
        <f>IF(AND(S36=1,Q36=R36),1/T36,0)</f>
        <v/>
      </c>
    </row>
    <row r="37" ht="21" customHeight="1">
      <c r="A37" s="197" t="n">
        <v>34</v>
      </c>
      <c r="B37" s="228" t="n">
        <v>0</v>
      </c>
      <c r="C37" s="195" t="n">
        <v>25</v>
      </c>
      <c r="D37" s="195" t="n">
        <v>25</v>
      </c>
      <c r="E37" s="195" t="n">
        <v>25</v>
      </c>
      <c r="F37" s="195" t="n">
        <v>75</v>
      </c>
      <c r="G37" s="195" t="n">
        <v>25</v>
      </c>
      <c r="H37" s="196" t="n">
        <v>25</v>
      </c>
      <c r="I37" s="109">
        <f>MAX(C37:H37)</f>
        <v/>
      </c>
      <c r="K37" s="113" t="n">
        <v>0</v>
      </c>
      <c r="L37" s="115">
        <f>C37-$L$1</f>
        <v/>
      </c>
      <c r="M37" s="115">
        <f>D37-$L$1</f>
        <v/>
      </c>
      <c r="N37" s="115">
        <f>E37-$L$1</f>
        <v/>
      </c>
      <c r="O37" s="115">
        <f>F37-$L$1</f>
        <v/>
      </c>
      <c r="P37" s="115">
        <f>G37-$L$1</f>
        <v/>
      </c>
      <c r="Q37" s="115">
        <f>H37-$L$1</f>
        <v/>
      </c>
      <c r="R37" s="116">
        <f>MAX(K37:Q37)</f>
        <v/>
      </c>
      <c r="S37" s="116">
        <f>IF(MAX(L37:Q37)&gt;=0,1,0)</f>
        <v/>
      </c>
      <c r="T37" s="117">
        <f>IF(S37=1,COUNTIF(L37:Q37,R37),0)</f>
        <v/>
      </c>
      <c r="V37" s="116">
        <f>IF(AND(S37=1,L37=R37),1/T37,0)</f>
        <v/>
      </c>
      <c r="W37" s="116">
        <f>IF(AND(S37=1,M37=R37),1/T37,0)</f>
        <v/>
      </c>
      <c r="X37" s="116">
        <f>IF(AND(S37=1,N37=R37),1/T37,0)</f>
        <v/>
      </c>
      <c r="Y37" s="116">
        <f>IF(AND(S37=1,O37=R37),1/T37,0)</f>
        <v/>
      </c>
      <c r="Z37" s="116">
        <f>IF(AND(S37=1,P37=R37),1/T37,0)</f>
        <v/>
      </c>
      <c r="AA37" s="116">
        <f>IF(AND(S37=1,Q37=R37),1/T37,0)</f>
        <v/>
      </c>
    </row>
    <row r="38" ht="21" customHeight="1">
      <c r="A38" s="197" t="n">
        <v>35</v>
      </c>
      <c r="B38" s="228" t="n">
        <v>1</v>
      </c>
      <c r="C38" s="195" t="n">
        <v>25</v>
      </c>
      <c r="D38" s="195" t="n">
        <v>25</v>
      </c>
      <c r="E38" s="195" t="n">
        <v>25</v>
      </c>
      <c r="F38" s="195" t="n">
        <v>25</v>
      </c>
      <c r="G38" s="195" t="n">
        <v>75</v>
      </c>
      <c r="H38" s="196" t="n">
        <v>75</v>
      </c>
      <c r="I38" s="109">
        <f>MAX(C38:H38)</f>
        <v/>
      </c>
      <c r="K38" s="113" t="n">
        <v>0</v>
      </c>
      <c r="L38" s="115">
        <f>C38-$L$1</f>
        <v/>
      </c>
      <c r="M38" s="115">
        <f>D38-$L$1</f>
        <v/>
      </c>
      <c r="N38" s="115">
        <f>E38-$L$1</f>
        <v/>
      </c>
      <c r="O38" s="115">
        <f>F38-$L$1</f>
        <v/>
      </c>
      <c r="P38" s="115">
        <f>G38-$L$1</f>
        <v/>
      </c>
      <c r="Q38" s="115">
        <f>H38-$L$1</f>
        <v/>
      </c>
      <c r="R38" s="116">
        <f>MAX(K38:Q38)</f>
        <v/>
      </c>
      <c r="S38" s="116">
        <f>IF(MAX(L38:Q38)&gt;=0,1,0)</f>
        <v/>
      </c>
      <c r="T38" s="117">
        <f>IF(S38=1,COUNTIF(L38:Q38,R38),0)</f>
        <v/>
      </c>
      <c r="V38" s="116">
        <f>IF(AND(S38=1,L38=R38),1/T38,0)</f>
        <v/>
      </c>
      <c r="W38" s="116">
        <f>IF(AND(S38=1,M38=R38),1/T38,0)</f>
        <v/>
      </c>
      <c r="X38" s="116">
        <f>IF(AND(S38=1,N38=R38),1/T38,0)</f>
        <v/>
      </c>
      <c r="Y38" s="116">
        <f>IF(AND(S38=1,O38=R38),1/T38,0)</f>
        <v/>
      </c>
      <c r="Z38" s="116">
        <f>IF(AND(S38=1,P38=R38),1/T38,0)</f>
        <v/>
      </c>
      <c r="AA38" s="116">
        <f>IF(AND(S38=1,Q38=R38),1/T38,0)</f>
        <v/>
      </c>
    </row>
    <row r="39" ht="21" customHeight="1">
      <c r="A39" s="197" t="n">
        <v>36</v>
      </c>
      <c r="B39" s="228" t="n">
        <v>1</v>
      </c>
      <c r="C39" s="195" t="n">
        <v>25</v>
      </c>
      <c r="D39" s="195" t="n">
        <v>25</v>
      </c>
      <c r="E39" s="195" t="n">
        <v>25</v>
      </c>
      <c r="F39" s="195" t="n">
        <v>25</v>
      </c>
      <c r="G39" s="195" t="n">
        <v>25</v>
      </c>
      <c r="H39" s="196" t="n">
        <v>25</v>
      </c>
      <c r="I39" s="109">
        <f>MAX(C39:H39)</f>
        <v/>
      </c>
      <c r="K39" s="113" t="n">
        <v>0</v>
      </c>
      <c r="L39" s="115">
        <f>C39-$L$1</f>
        <v/>
      </c>
      <c r="M39" s="115">
        <f>D39-$L$1</f>
        <v/>
      </c>
      <c r="N39" s="115">
        <f>E39-$L$1</f>
        <v/>
      </c>
      <c r="O39" s="115">
        <f>F39-$L$1</f>
        <v/>
      </c>
      <c r="P39" s="115">
        <f>G39-$L$1</f>
        <v/>
      </c>
      <c r="Q39" s="115">
        <f>H39-$L$1</f>
        <v/>
      </c>
      <c r="R39" s="116">
        <f>MAX(K39:Q39)</f>
        <v/>
      </c>
      <c r="S39" s="116">
        <f>IF(MAX(L39:Q39)&gt;=0,1,0)</f>
        <v/>
      </c>
      <c r="T39" s="117">
        <f>IF(S39=1,COUNTIF(L39:Q39,R39),0)</f>
        <v/>
      </c>
      <c r="V39" s="116">
        <f>IF(AND(S39=1,L39=R39),1/T39,0)</f>
        <v/>
      </c>
      <c r="W39" s="116">
        <f>IF(AND(S39=1,M39=R39),1/T39,0)</f>
        <v/>
      </c>
      <c r="X39" s="116">
        <f>IF(AND(S39=1,N39=R39),1/T39,0)</f>
        <v/>
      </c>
      <c r="Y39" s="116">
        <f>IF(AND(S39=1,O39=R39),1/T39,0)</f>
        <v/>
      </c>
      <c r="Z39" s="116">
        <f>IF(AND(S39=1,P39=R39),1/T39,0)</f>
        <v/>
      </c>
      <c r="AA39" s="116">
        <f>IF(AND(S39=1,Q39=R39),1/T39,0)</f>
        <v/>
      </c>
    </row>
    <row r="40" ht="21" customHeight="1">
      <c r="A40" s="197" t="n">
        <v>37</v>
      </c>
      <c r="B40" s="228" t="n">
        <v>0</v>
      </c>
      <c r="C40" s="195" t="n">
        <v>50</v>
      </c>
      <c r="D40" s="195" t="n">
        <v>50</v>
      </c>
      <c r="E40" s="195" t="n">
        <v>50</v>
      </c>
      <c r="F40" s="195" t="n">
        <v>50</v>
      </c>
      <c r="G40" s="195" t="n">
        <v>50</v>
      </c>
      <c r="H40" s="196" t="n">
        <v>50</v>
      </c>
      <c r="I40" s="109">
        <f>MAX(C40:H40)</f>
        <v/>
      </c>
      <c r="K40" s="113" t="n">
        <v>0</v>
      </c>
      <c r="L40" s="115">
        <f>C40-$L$1</f>
        <v/>
      </c>
      <c r="M40" s="115">
        <f>D40-$L$1</f>
        <v/>
      </c>
      <c r="N40" s="115">
        <f>E40-$L$1</f>
        <v/>
      </c>
      <c r="O40" s="115">
        <f>F40-$L$1</f>
        <v/>
      </c>
      <c r="P40" s="115">
        <f>G40-$L$1</f>
        <v/>
      </c>
      <c r="Q40" s="115">
        <f>H40-$L$1</f>
        <v/>
      </c>
      <c r="R40" s="116">
        <f>MAX(K40:Q40)</f>
        <v/>
      </c>
      <c r="S40" s="116">
        <f>IF(MAX(L40:Q40)&gt;=0,1,0)</f>
        <v/>
      </c>
      <c r="T40" s="117">
        <f>IF(S40=1,COUNTIF(L40:Q40,R40),0)</f>
        <v/>
      </c>
      <c r="V40" s="116">
        <f>IF(AND(S40=1,L40=R40),1/T40,0)</f>
        <v/>
      </c>
      <c r="W40" s="116">
        <f>IF(AND(S40=1,M40=R40),1/T40,0)</f>
        <v/>
      </c>
      <c r="X40" s="116">
        <f>IF(AND(S40=1,N40=R40),1/T40,0)</f>
        <v/>
      </c>
      <c r="Y40" s="116">
        <f>IF(AND(S40=1,O40=R40),1/T40,0)</f>
        <v/>
      </c>
      <c r="Z40" s="116">
        <f>IF(AND(S40=1,P40=R40),1/T40,0)</f>
        <v/>
      </c>
      <c r="AA40" s="116">
        <f>IF(AND(S40=1,Q40=R40),1/T40,0)</f>
        <v/>
      </c>
    </row>
    <row r="41" ht="21" customHeight="1">
      <c r="A41" s="197" t="n">
        <v>38</v>
      </c>
      <c r="B41" s="228" t="n">
        <v>1</v>
      </c>
      <c r="C41" s="195" t="n">
        <v>25</v>
      </c>
      <c r="D41" s="195" t="n">
        <v>25</v>
      </c>
      <c r="E41" s="195" t="n">
        <v>25</v>
      </c>
      <c r="F41" s="195" t="n">
        <v>25</v>
      </c>
      <c r="G41" s="195" t="n">
        <v>25</v>
      </c>
      <c r="H41" s="196" t="n">
        <v>25</v>
      </c>
      <c r="I41" s="109">
        <f>MAX(C41:H41)</f>
        <v/>
      </c>
      <c r="K41" s="113" t="n">
        <v>0</v>
      </c>
      <c r="L41" s="115">
        <f>C41-$L$1</f>
        <v/>
      </c>
      <c r="M41" s="115">
        <f>D41-$L$1</f>
        <v/>
      </c>
      <c r="N41" s="115">
        <f>E41-$L$1</f>
        <v/>
      </c>
      <c r="O41" s="115">
        <f>F41-$L$1</f>
        <v/>
      </c>
      <c r="P41" s="115">
        <f>G41-$L$1</f>
        <v/>
      </c>
      <c r="Q41" s="115">
        <f>H41-$L$1</f>
        <v/>
      </c>
      <c r="R41" s="116">
        <f>MAX(K41:Q41)</f>
        <v/>
      </c>
      <c r="S41" s="116">
        <f>IF(MAX(L41:Q41)&gt;=0,1,0)</f>
        <v/>
      </c>
      <c r="T41" s="117">
        <f>IF(S41=1,COUNTIF(L41:Q41,R41),0)</f>
        <v/>
      </c>
      <c r="V41" s="116">
        <f>IF(AND(S41=1,L41=R41),1/T41,0)</f>
        <v/>
      </c>
      <c r="W41" s="116">
        <f>IF(AND(S41=1,M41=R41),1/T41,0)</f>
        <v/>
      </c>
      <c r="X41" s="116">
        <f>IF(AND(S41=1,N41=R41),1/T41,0)</f>
        <v/>
      </c>
      <c r="Y41" s="116">
        <f>IF(AND(S41=1,O41=R41),1/T41,0)</f>
        <v/>
      </c>
      <c r="Z41" s="116">
        <f>IF(AND(S41=1,P41=R41),1/T41,0)</f>
        <v/>
      </c>
      <c r="AA41" s="116">
        <f>IF(AND(S41=1,Q41=R41),1/T41,0)</f>
        <v/>
      </c>
    </row>
    <row r="42" ht="21" customHeight="1">
      <c r="A42" s="197" t="n">
        <v>39</v>
      </c>
      <c r="B42" s="228" t="n">
        <v>0</v>
      </c>
      <c r="C42" s="195" t="n">
        <v>100</v>
      </c>
      <c r="D42" s="195" t="n">
        <v>50</v>
      </c>
      <c r="E42" s="195" t="n">
        <v>50</v>
      </c>
      <c r="F42" s="195" t="n">
        <v>50</v>
      </c>
      <c r="G42" s="195" t="n">
        <v>100</v>
      </c>
      <c r="H42" s="196" t="n">
        <v>50</v>
      </c>
      <c r="I42" s="109">
        <f>MAX(C42:H42)</f>
        <v/>
      </c>
      <c r="K42" s="113" t="n">
        <v>0</v>
      </c>
      <c r="L42" s="115">
        <f>C42-$L$1</f>
        <v/>
      </c>
      <c r="M42" s="115">
        <f>D42-$L$1</f>
        <v/>
      </c>
      <c r="N42" s="115">
        <f>E42-$L$1</f>
        <v/>
      </c>
      <c r="O42" s="115">
        <f>F42-$L$1</f>
        <v/>
      </c>
      <c r="P42" s="115">
        <f>G42-$L$1</f>
        <v/>
      </c>
      <c r="Q42" s="115">
        <f>H42-$L$1</f>
        <v/>
      </c>
      <c r="R42" s="116">
        <f>MAX(K42:Q42)</f>
        <v/>
      </c>
      <c r="S42" s="116">
        <f>IF(MAX(L42:Q42)&gt;=0,1,0)</f>
        <v/>
      </c>
      <c r="T42" s="117">
        <f>IF(S42=1,COUNTIF(L42:Q42,R42),0)</f>
        <v/>
      </c>
      <c r="V42" s="116">
        <f>IF(AND(S42=1,L42=R42),1/T42,0)</f>
        <v/>
      </c>
      <c r="W42" s="116">
        <f>IF(AND(S42=1,M42=R42),1/T42,0)</f>
        <v/>
      </c>
      <c r="X42" s="116">
        <f>IF(AND(S42=1,N42=R42),1/T42,0)</f>
        <v/>
      </c>
      <c r="Y42" s="116">
        <f>IF(AND(S42=1,O42=R42),1/T42,0)</f>
        <v/>
      </c>
      <c r="Z42" s="116">
        <f>IF(AND(S42=1,P42=R42),1/T42,0)</f>
        <v/>
      </c>
      <c r="AA42" s="116">
        <f>IF(AND(S42=1,Q42=R42),1/T42,0)</f>
        <v/>
      </c>
    </row>
    <row r="43" ht="21" customHeight="1">
      <c r="A43" s="197" t="n">
        <v>40</v>
      </c>
      <c r="B43" s="228" t="n">
        <v>1</v>
      </c>
      <c r="C43" s="195" t="n">
        <v>75</v>
      </c>
      <c r="D43" s="195" t="n">
        <v>25</v>
      </c>
      <c r="E43" s="195" t="n">
        <v>25</v>
      </c>
      <c r="F43" s="195" t="n">
        <v>25</v>
      </c>
      <c r="G43" s="195" t="n">
        <v>50</v>
      </c>
      <c r="H43" s="196" t="n">
        <v>25</v>
      </c>
      <c r="I43" s="109">
        <f>MAX(C43:H43)</f>
        <v/>
      </c>
      <c r="K43" s="113" t="n">
        <v>0</v>
      </c>
      <c r="L43" s="115">
        <f>C43-$L$1</f>
        <v/>
      </c>
      <c r="M43" s="115">
        <f>D43-$L$1</f>
        <v/>
      </c>
      <c r="N43" s="115">
        <f>E43-$L$1</f>
        <v/>
      </c>
      <c r="O43" s="115">
        <f>F43-$L$1</f>
        <v/>
      </c>
      <c r="P43" s="115">
        <f>G43-$L$1</f>
        <v/>
      </c>
      <c r="Q43" s="115">
        <f>H43-$L$1</f>
        <v/>
      </c>
      <c r="R43" s="116">
        <f>MAX(K43:Q43)</f>
        <v/>
      </c>
      <c r="S43" s="116">
        <f>IF(MAX(L43:Q43)&gt;=0,1,0)</f>
        <v/>
      </c>
      <c r="T43" s="117">
        <f>IF(S43=1,COUNTIF(L43:Q43,R43),0)</f>
        <v/>
      </c>
      <c r="V43" s="116">
        <f>IF(AND(S43=1,L43=R43),1/T43,0)</f>
        <v/>
      </c>
      <c r="W43" s="116">
        <f>IF(AND(S43=1,M43=R43),1/T43,0)</f>
        <v/>
      </c>
      <c r="X43" s="116">
        <f>IF(AND(S43=1,N43=R43),1/T43,0)</f>
        <v/>
      </c>
      <c r="Y43" s="116">
        <f>IF(AND(S43=1,O43=R43),1/T43,0)</f>
        <v/>
      </c>
      <c r="Z43" s="116">
        <f>IF(AND(S43=1,P43=R43),1/T43,0)</f>
        <v/>
      </c>
      <c r="AA43" s="116">
        <f>IF(AND(S43=1,Q43=R43),1/T43,0)</f>
        <v/>
      </c>
    </row>
    <row r="44" ht="21" customHeight="1">
      <c r="A44" s="197" t="n">
        <v>41</v>
      </c>
      <c r="B44" s="228" t="n">
        <v>1</v>
      </c>
      <c r="C44" s="195" t="n">
        <v>25</v>
      </c>
      <c r="D44" s="195" t="n">
        <v>25</v>
      </c>
      <c r="E44" s="195" t="n">
        <v>25</v>
      </c>
      <c r="F44" s="195" t="n">
        <v>25</v>
      </c>
      <c r="G44" s="195" t="n">
        <v>75</v>
      </c>
      <c r="H44" s="196" t="n">
        <v>75</v>
      </c>
      <c r="I44" s="109">
        <f>MAX(C44:H44)</f>
        <v/>
      </c>
      <c r="K44" s="113" t="n">
        <v>0</v>
      </c>
      <c r="L44" s="115">
        <f>C44-$L$1</f>
        <v/>
      </c>
      <c r="M44" s="115">
        <f>D44-$L$1</f>
        <v/>
      </c>
      <c r="N44" s="115">
        <f>E44-$L$1</f>
        <v/>
      </c>
      <c r="O44" s="115">
        <f>F44-$L$1</f>
        <v/>
      </c>
      <c r="P44" s="115">
        <f>G44-$L$1</f>
        <v/>
      </c>
      <c r="Q44" s="115">
        <f>H44-$L$1</f>
        <v/>
      </c>
      <c r="R44" s="116">
        <f>MAX(K44:Q44)</f>
        <v/>
      </c>
      <c r="S44" s="116">
        <f>IF(MAX(L44:Q44)&gt;=0,1,0)</f>
        <v/>
      </c>
      <c r="T44" s="117">
        <f>IF(S44=1,COUNTIF(L44:Q44,R44),0)</f>
        <v/>
      </c>
      <c r="V44" s="116">
        <f>IF(AND(S44=1,L44=R44),1/T44,0)</f>
        <v/>
      </c>
      <c r="W44" s="116">
        <f>IF(AND(S44=1,M44=R44),1/T44,0)</f>
        <v/>
      </c>
      <c r="X44" s="116">
        <f>IF(AND(S44=1,N44=R44),1/T44,0)</f>
        <v/>
      </c>
      <c r="Y44" s="116">
        <f>IF(AND(S44=1,O44=R44),1/T44,0)</f>
        <v/>
      </c>
      <c r="Z44" s="116">
        <f>IF(AND(S44=1,P44=R44),1/T44,0)</f>
        <v/>
      </c>
      <c r="AA44" s="116">
        <f>IF(AND(S44=1,Q44=R44),1/T44,0)</f>
        <v/>
      </c>
    </row>
    <row r="45" ht="21" customHeight="1">
      <c r="A45" s="197" t="n">
        <v>42</v>
      </c>
      <c r="B45" s="228" t="n">
        <v>0</v>
      </c>
      <c r="C45" s="195" t="n">
        <v>75</v>
      </c>
      <c r="D45" s="195" t="n">
        <v>25</v>
      </c>
      <c r="E45" s="195" t="n">
        <v>25</v>
      </c>
      <c r="F45" s="195" t="n">
        <v>25</v>
      </c>
      <c r="G45" s="195" t="n">
        <v>75</v>
      </c>
      <c r="H45" s="196" t="n">
        <v>25</v>
      </c>
      <c r="I45" s="109">
        <f>MAX(C45:H45)</f>
        <v/>
      </c>
      <c r="K45" s="113" t="n">
        <v>0</v>
      </c>
      <c r="L45" s="115">
        <f>C45-$L$1</f>
        <v/>
      </c>
      <c r="M45" s="115">
        <f>D45-$L$1</f>
        <v/>
      </c>
      <c r="N45" s="115">
        <f>E45-$L$1</f>
        <v/>
      </c>
      <c r="O45" s="115">
        <f>F45-$L$1</f>
        <v/>
      </c>
      <c r="P45" s="115">
        <f>G45-$L$1</f>
        <v/>
      </c>
      <c r="Q45" s="115">
        <f>H45-$L$1</f>
        <v/>
      </c>
      <c r="R45" s="116">
        <f>MAX(K45:Q45)</f>
        <v/>
      </c>
      <c r="S45" s="116">
        <f>IF(MAX(L45:Q45)&gt;=0,1,0)</f>
        <v/>
      </c>
      <c r="T45" s="117">
        <f>IF(S45=1,COUNTIF(L45:Q45,R45),0)</f>
        <v/>
      </c>
      <c r="V45" s="116">
        <f>IF(AND(S45=1,L45=R45),1/T45,0)</f>
        <v/>
      </c>
      <c r="W45" s="116">
        <f>IF(AND(S45=1,M45=R45),1/T45,0)</f>
        <v/>
      </c>
      <c r="X45" s="116">
        <f>IF(AND(S45=1,N45=R45),1/T45,0)</f>
        <v/>
      </c>
      <c r="Y45" s="116">
        <f>IF(AND(S45=1,O45=R45),1/T45,0)</f>
        <v/>
      </c>
      <c r="Z45" s="116">
        <f>IF(AND(S45=1,P45=R45),1/T45,0)</f>
        <v/>
      </c>
      <c r="AA45" s="116">
        <f>IF(AND(S45=1,Q45=R45),1/T45,0)</f>
        <v/>
      </c>
    </row>
    <row r="46" ht="21" customHeight="1">
      <c r="A46" s="197" t="n">
        <v>43</v>
      </c>
      <c r="B46" s="228" t="n">
        <v>0</v>
      </c>
      <c r="C46" s="195" t="n">
        <v>100</v>
      </c>
      <c r="D46" s="195" t="n">
        <v>75</v>
      </c>
      <c r="E46" s="195" t="n">
        <v>75</v>
      </c>
      <c r="F46" s="195" t="n">
        <v>75</v>
      </c>
      <c r="G46" s="195" t="n">
        <v>100</v>
      </c>
      <c r="H46" s="196" t="n">
        <v>100</v>
      </c>
      <c r="I46" s="109">
        <f>MAX(C46:H46)</f>
        <v/>
      </c>
      <c r="K46" s="113" t="n">
        <v>0</v>
      </c>
      <c r="L46" s="115">
        <f>C46-$L$1</f>
        <v/>
      </c>
      <c r="M46" s="115">
        <f>D46-$L$1</f>
        <v/>
      </c>
      <c r="N46" s="115">
        <f>E46-$L$1</f>
        <v/>
      </c>
      <c r="O46" s="115">
        <f>F46-$L$1</f>
        <v/>
      </c>
      <c r="P46" s="115">
        <f>G46-$L$1</f>
        <v/>
      </c>
      <c r="Q46" s="115">
        <f>H46-$L$1</f>
        <v/>
      </c>
      <c r="R46" s="116">
        <f>MAX(K46:Q46)</f>
        <v/>
      </c>
      <c r="S46" s="116">
        <f>IF(MAX(L46:Q46)&gt;=0,1,0)</f>
        <v/>
      </c>
      <c r="T46" s="117">
        <f>IF(S46=1,COUNTIF(L46:Q46,R46),0)</f>
        <v/>
      </c>
      <c r="V46" s="116">
        <f>IF(AND(S46=1,L46=R46),1/T46,0)</f>
        <v/>
      </c>
      <c r="W46" s="116">
        <f>IF(AND(S46=1,M46=R46),1/T46,0)</f>
        <v/>
      </c>
      <c r="X46" s="116">
        <f>IF(AND(S46=1,N46=R46),1/T46,0)</f>
        <v/>
      </c>
      <c r="Y46" s="116">
        <f>IF(AND(S46=1,O46=R46),1/T46,0)</f>
        <v/>
      </c>
      <c r="Z46" s="116">
        <f>IF(AND(S46=1,P46=R46),1/T46,0)</f>
        <v/>
      </c>
      <c r="AA46" s="116">
        <f>IF(AND(S46=1,Q46=R46),1/T46,0)</f>
        <v/>
      </c>
    </row>
    <row r="47" ht="21" customHeight="1">
      <c r="A47" s="197" t="n">
        <v>44</v>
      </c>
      <c r="B47" s="228" t="n">
        <v>1</v>
      </c>
      <c r="C47" s="195" t="n">
        <v>75</v>
      </c>
      <c r="D47" s="195" t="n">
        <v>25</v>
      </c>
      <c r="E47" s="195" t="n">
        <v>75</v>
      </c>
      <c r="F47" s="195" t="n">
        <v>25</v>
      </c>
      <c r="G47" s="195" t="n">
        <v>75</v>
      </c>
      <c r="H47" s="196" t="n">
        <v>25</v>
      </c>
      <c r="I47" s="109">
        <f>MAX(C47:H47)</f>
        <v/>
      </c>
      <c r="K47" s="113" t="n">
        <v>0</v>
      </c>
      <c r="L47" s="115">
        <f>C47-$L$1</f>
        <v/>
      </c>
      <c r="M47" s="115">
        <f>D47-$L$1</f>
        <v/>
      </c>
      <c r="N47" s="115">
        <f>E47-$L$1</f>
        <v/>
      </c>
      <c r="O47" s="115">
        <f>F47-$L$1</f>
        <v/>
      </c>
      <c r="P47" s="115">
        <f>G47-$L$1</f>
        <v/>
      </c>
      <c r="Q47" s="115">
        <f>H47-$L$1</f>
        <v/>
      </c>
      <c r="R47" s="116">
        <f>MAX(K47:Q47)</f>
        <v/>
      </c>
      <c r="S47" s="116">
        <f>IF(MAX(L47:Q47)&gt;=0,1,0)</f>
        <v/>
      </c>
      <c r="T47" s="117">
        <f>IF(S47=1,COUNTIF(L47:Q47,R47),0)</f>
        <v/>
      </c>
      <c r="V47" s="116">
        <f>IF(AND(S47=1,L47=R47),1/T47,0)</f>
        <v/>
      </c>
      <c r="W47" s="116">
        <f>IF(AND(S47=1,M47=R47),1/T47,0)</f>
        <v/>
      </c>
      <c r="X47" s="116">
        <f>IF(AND(S47=1,N47=R47),1/T47,0)</f>
        <v/>
      </c>
      <c r="Y47" s="116">
        <f>IF(AND(S47=1,O47=R47),1/T47,0)</f>
        <v/>
      </c>
      <c r="Z47" s="116">
        <f>IF(AND(S47=1,P47=R47),1/T47,0)</f>
        <v/>
      </c>
      <c r="AA47" s="116">
        <f>IF(AND(S47=1,Q47=R47),1/T47,0)</f>
        <v/>
      </c>
    </row>
    <row r="48" ht="21" customHeight="1">
      <c r="A48" s="197" t="n">
        <v>45</v>
      </c>
      <c r="B48" s="228" t="n">
        <v>0</v>
      </c>
      <c r="C48" s="195" t="n">
        <v>75</v>
      </c>
      <c r="D48" s="195" t="n">
        <v>75</v>
      </c>
      <c r="E48" s="195" t="n">
        <v>75</v>
      </c>
      <c r="F48" s="195" t="n">
        <v>75</v>
      </c>
      <c r="G48" s="195" t="n">
        <v>75</v>
      </c>
      <c r="H48" s="196" t="n">
        <v>75</v>
      </c>
      <c r="I48" s="109">
        <f>MAX(C48:H48)</f>
        <v/>
      </c>
      <c r="K48" s="113" t="n">
        <v>0</v>
      </c>
      <c r="L48" s="115">
        <f>C48-$L$1</f>
        <v/>
      </c>
      <c r="M48" s="115">
        <f>D48-$L$1</f>
        <v/>
      </c>
      <c r="N48" s="115">
        <f>E48-$L$1</f>
        <v/>
      </c>
      <c r="O48" s="115">
        <f>F48-$L$1</f>
        <v/>
      </c>
      <c r="P48" s="115">
        <f>G48-$L$1</f>
        <v/>
      </c>
      <c r="Q48" s="115">
        <f>H48-$L$1</f>
        <v/>
      </c>
      <c r="R48" s="116">
        <f>MAX(K48:Q48)</f>
        <v/>
      </c>
      <c r="S48" s="116">
        <f>IF(MAX(L48:Q48)&gt;=0,1,0)</f>
        <v/>
      </c>
      <c r="T48" s="117">
        <f>IF(S48=1,COUNTIF(L48:Q48,R48),0)</f>
        <v/>
      </c>
      <c r="V48" s="116">
        <f>IF(AND(S48=1,L48=R48),1/T48,0)</f>
        <v/>
      </c>
      <c r="W48" s="116">
        <f>IF(AND(S48=1,M48=R48),1/T48,0)</f>
        <v/>
      </c>
      <c r="X48" s="116">
        <f>IF(AND(S48=1,N48=R48),1/T48,0)</f>
        <v/>
      </c>
      <c r="Y48" s="116">
        <f>IF(AND(S48=1,O48=R48),1/T48,0)</f>
        <v/>
      </c>
      <c r="Z48" s="116">
        <f>IF(AND(S48=1,P48=R48),1/T48,0)</f>
        <v/>
      </c>
      <c r="AA48" s="116">
        <f>IF(AND(S48=1,Q48=R48),1/T48,0)</f>
        <v/>
      </c>
    </row>
    <row r="49" ht="21" customHeight="1">
      <c r="A49" s="197" t="n">
        <v>46</v>
      </c>
      <c r="B49" s="228" t="n">
        <v>1</v>
      </c>
      <c r="C49" s="195" t="n">
        <v>50</v>
      </c>
      <c r="D49" s="195" t="n">
        <v>50</v>
      </c>
      <c r="E49" s="195" t="n">
        <v>50</v>
      </c>
      <c r="F49" s="195" t="n">
        <v>50</v>
      </c>
      <c r="G49" s="195" t="n">
        <v>50</v>
      </c>
      <c r="H49" s="196" t="n">
        <v>50</v>
      </c>
      <c r="I49" s="109">
        <f>MAX(C49:H49)</f>
        <v/>
      </c>
      <c r="K49" s="113" t="n">
        <v>0</v>
      </c>
      <c r="L49" s="115">
        <f>C49-$L$1</f>
        <v/>
      </c>
      <c r="M49" s="115">
        <f>D49-$L$1</f>
        <v/>
      </c>
      <c r="N49" s="115">
        <f>E49-$L$1</f>
        <v/>
      </c>
      <c r="O49" s="115">
        <f>F49-$L$1</f>
        <v/>
      </c>
      <c r="P49" s="115">
        <f>G49-$L$1</f>
        <v/>
      </c>
      <c r="Q49" s="115">
        <f>H49-$L$1</f>
        <v/>
      </c>
      <c r="R49" s="116">
        <f>MAX(K49:Q49)</f>
        <v/>
      </c>
      <c r="S49" s="116">
        <f>IF(MAX(L49:Q49)&gt;=0,1,0)</f>
        <v/>
      </c>
      <c r="T49" s="117">
        <f>IF(S49=1,COUNTIF(L49:Q49,R49),0)</f>
        <v/>
      </c>
      <c r="V49" s="116">
        <f>IF(AND(S49=1,L49=R49),1/T49,0)</f>
        <v/>
      </c>
      <c r="W49" s="116">
        <f>IF(AND(S49=1,M49=R49),1/T49,0)</f>
        <v/>
      </c>
      <c r="X49" s="116">
        <f>IF(AND(S49=1,N49=R49),1/T49,0)</f>
        <v/>
      </c>
      <c r="Y49" s="116">
        <f>IF(AND(S49=1,O49=R49),1/T49,0)</f>
        <v/>
      </c>
      <c r="Z49" s="116">
        <f>IF(AND(S49=1,P49=R49),1/T49,0)</f>
        <v/>
      </c>
      <c r="AA49" s="116">
        <f>IF(AND(S49=1,Q49=R49),1/T49,0)</f>
        <v/>
      </c>
    </row>
    <row r="50" ht="21" customHeight="1">
      <c r="A50" s="197" t="n">
        <v>47</v>
      </c>
      <c r="B50" s="228" t="n">
        <v>1</v>
      </c>
      <c r="C50" s="195" t="n">
        <v>75</v>
      </c>
      <c r="D50" s="195" t="n">
        <v>50</v>
      </c>
      <c r="E50" s="195" t="n">
        <v>50</v>
      </c>
      <c r="F50" s="195" t="n">
        <v>50</v>
      </c>
      <c r="G50" s="195" t="n">
        <v>75</v>
      </c>
      <c r="H50" s="196" t="n">
        <v>75</v>
      </c>
      <c r="I50" s="109">
        <f>MAX(C50:H50)</f>
        <v/>
      </c>
      <c r="K50" s="113" t="n">
        <v>0</v>
      </c>
      <c r="L50" s="115">
        <f>C50-$L$1</f>
        <v/>
      </c>
      <c r="M50" s="115">
        <f>D50-$L$1</f>
        <v/>
      </c>
      <c r="N50" s="115">
        <f>E50-$L$1</f>
        <v/>
      </c>
      <c r="O50" s="115">
        <f>F50-$L$1</f>
        <v/>
      </c>
      <c r="P50" s="115">
        <f>G50-$L$1</f>
        <v/>
      </c>
      <c r="Q50" s="115">
        <f>H50-$L$1</f>
        <v/>
      </c>
      <c r="R50" s="116">
        <f>MAX(K50:Q50)</f>
        <v/>
      </c>
      <c r="S50" s="116">
        <f>IF(MAX(L50:Q50)&gt;=0,1,0)</f>
        <v/>
      </c>
      <c r="T50" s="117">
        <f>IF(S50=1,COUNTIF(L50:Q50,R50),0)</f>
        <v/>
      </c>
      <c r="V50" s="116">
        <f>IF(AND(S50=1,L50=R50),1/T50,0)</f>
        <v/>
      </c>
      <c r="W50" s="116">
        <f>IF(AND(S50=1,M50=R50),1/T50,0)</f>
        <v/>
      </c>
      <c r="X50" s="116">
        <f>IF(AND(S50=1,N50=R50),1/T50,0)</f>
        <v/>
      </c>
      <c r="Y50" s="116">
        <f>IF(AND(S50=1,O50=R50),1/T50,0)</f>
        <v/>
      </c>
      <c r="Z50" s="116">
        <f>IF(AND(S50=1,P50=R50),1/T50,0)</f>
        <v/>
      </c>
      <c r="AA50" s="116">
        <f>IF(AND(S50=1,Q50=R50),1/T50,0)</f>
        <v/>
      </c>
    </row>
    <row r="51" ht="21" customHeight="1">
      <c r="A51" s="197" t="n">
        <v>48</v>
      </c>
      <c r="B51" s="228" t="n">
        <v>0</v>
      </c>
      <c r="C51" s="195" t="n">
        <v>50</v>
      </c>
      <c r="D51" s="195" t="n">
        <v>50</v>
      </c>
      <c r="E51" s="195" t="n">
        <v>50</v>
      </c>
      <c r="F51" s="195" t="n">
        <v>50</v>
      </c>
      <c r="G51" s="195" t="n">
        <v>50</v>
      </c>
      <c r="H51" s="196" t="n">
        <v>50</v>
      </c>
      <c r="I51" s="109">
        <f>MAX(C51:H51)</f>
        <v/>
      </c>
      <c r="K51" s="113" t="n">
        <v>0</v>
      </c>
      <c r="L51" s="115">
        <f>C51-$L$1</f>
        <v/>
      </c>
      <c r="M51" s="115">
        <f>D51-$L$1</f>
        <v/>
      </c>
      <c r="N51" s="115">
        <f>E51-$L$1</f>
        <v/>
      </c>
      <c r="O51" s="115">
        <f>F51-$L$1</f>
        <v/>
      </c>
      <c r="P51" s="115">
        <f>G51-$L$1</f>
        <v/>
      </c>
      <c r="Q51" s="115">
        <f>H51-$L$1</f>
        <v/>
      </c>
      <c r="R51" s="116">
        <f>MAX(K51:Q51)</f>
        <v/>
      </c>
      <c r="S51" s="116">
        <f>IF(MAX(L51:Q51)&gt;=0,1,0)</f>
        <v/>
      </c>
      <c r="T51" s="117">
        <f>IF(S51=1,COUNTIF(L51:Q51,R51),0)</f>
        <v/>
      </c>
      <c r="V51" s="116">
        <f>IF(AND(S51=1,L51=R51),1/T51,0)</f>
        <v/>
      </c>
      <c r="W51" s="116">
        <f>IF(AND(S51=1,M51=R51),1/T51,0)</f>
        <v/>
      </c>
      <c r="X51" s="116">
        <f>IF(AND(S51=1,N51=R51),1/T51,0)</f>
        <v/>
      </c>
      <c r="Y51" s="116">
        <f>IF(AND(S51=1,O51=R51),1/T51,0)</f>
        <v/>
      </c>
      <c r="Z51" s="116">
        <f>IF(AND(S51=1,P51=R51),1/T51,0)</f>
        <v/>
      </c>
      <c r="AA51" s="116">
        <f>IF(AND(S51=1,Q51=R51),1/T51,0)</f>
        <v/>
      </c>
    </row>
    <row r="52" ht="21" customHeight="1">
      <c r="A52" s="197" t="n">
        <v>49</v>
      </c>
      <c r="B52" s="228" t="n">
        <v>0</v>
      </c>
      <c r="C52" s="195" t="n">
        <v>25</v>
      </c>
      <c r="D52" s="195" t="n">
        <v>25</v>
      </c>
      <c r="E52" s="195" t="n">
        <v>25</v>
      </c>
      <c r="F52" s="195" t="n">
        <v>25</v>
      </c>
      <c r="G52" s="195" t="n">
        <v>25</v>
      </c>
      <c r="H52" s="196" t="n">
        <v>25</v>
      </c>
      <c r="I52" s="109">
        <f>MAX(C52:H52)</f>
        <v/>
      </c>
      <c r="K52" s="113" t="n">
        <v>0</v>
      </c>
      <c r="L52" s="115">
        <f>C52-$L$1</f>
        <v/>
      </c>
      <c r="M52" s="115">
        <f>D52-$L$1</f>
        <v/>
      </c>
      <c r="N52" s="115">
        <f>E52-$L$1</f>
        <v/>
      </c>
      <c r="O52" s="115">
        <f>F52-$L$1</f>
        <v/>
      </c>
      <c r="P52" s="115">
        <f>G52-$L$1</f>
        <v/>
      </c>
      <c r="Q52" s="115">
        <f>H52-$L$1</f>
        <v/>
      </c>
      <c r="R52" s="116">
        <f>MAX(K52:Q52)</f>
        <v/>
      </c>
      <c r="S52" s="116">
        <f>IF(MAX(L52:Q52)&gt;=0,1,0)</f>
        <v/>
      </c>
      <c r="T52" s="117">
        <f>IF(S52=1,COUNTIF(L52:Q52,R52),0)</f>
        <v/>
      </c>
      <c r="V52" s="116">
        <f>IF(AND(S52=1,L52=R52),1/T52,0)</f>
        <v/>
      </c>
      <c r="W52" s="116">
        <f>IF(AND(S52=1,M52=R52),1/T52,0)</f>
        <v/>
      </c>
      <c r="X52" s="116">
        <f>IF(AND(S52=1,N52=R52),1/T52,0)</f>
        <v/>
      </c>
      <c r="Y52" s="116">
        <f>IF(AND(S52=1,O52=R52),1/T52,0)</f>
        <v/>
      </c>
      <c r="Z52" s="116">
        <f>IF(AND(S52=1,P52=R52),1/T52,0)</f>
        <v/>
      </c>
      <c r="AA52" s="116">
        <f>IF(AND(S52=1,Q52=R52),1/T52,0)</f>
        <v/>
      </c>
    </row>
    <row r="53" ht="21" customHeight="1">
      <c r="A53" s="197" t="n">
        <v>50</v>
      </c>
      <c r="B53" s="228" t="n">
        <v>0</v>
      </c>
      <c r="C53" s="195" t="n">
        <v>50</v>
      </c>
      <c r="D53" s="195" t="n">
        <v>50</v>
      </c>
      <c r="E53" s="195" t="n">
        <v>50</v>
      </c>
      <c r="F53" s="195" t="n">
        <v>50</v>
      </c>
      <c r="G53" s="195" t="n">
        <v>50</v>
      </c>
      <c r="H53" s="196" t="n">
        <v>50</v>
      </c>
      <c r="I53" s="109">
        <f>MAX(C53:H53)</f>
        <v/>
      </c>
      <c r="K53" s="113" t="n">
        <v>0</v>
      </c>
      <c r="L53" s="115">
        <f>C53-$L$1</f>
        <v/>
      </c>
      <c r="M53" s="115">
        <f>D53-$L$1</f>
        <v/>
      </c>
      <c r="N53" s="115">
        <f>E53-$L$1</f>
        <v/>
      </c>
      <c r="O53" s="115">
        <f>F53-$L$1</f>
        <v/>
      </c>
      <c r="P53" s="115">
        <f>G53-$L$1</f>
        <v/>
      </c>
      <c r="Q53" s="115">
        <f>H53-$L$1</f>
        <v/>
      </c>
      <c r="R53" s="116">
        <f>MAX(K53:Q53)</f>
        <v/>
      </c>
      <c r="S53" s="116">
        <f>IF(MAX(L53:Q53)&gt;=0,1,0)</f>
        <v/>
      </c>
      <c r="T53" s="117">
        <f>IF(S53=1,COUNTIF(L53:Q53,R53),0)</f>
        <v/>
      </c>
      <c r="V53" s="116">
        <f>IF(AND(S53=1,L53=R53),1/T53,0)</f>
        <v/>
      </c>
      <c r="W53" s="116">
        <f>IF(AND(S53=1,M53=R53),1/T53,0)</f>
        <v/>
      </c>
      <c r="X53" s="116">
        <f>IF(AND(S53=1,N53=R53),1/T53,0)</f>
        <v/>
      </c>
      <c r="Y53" s="116">
        <f>IF(AND(S53=1,O53=R53),1/T53,0)</f>
        <v/>
      </c>
      <c r="Z53" s="116">
        <f>IF(AND(S53=1,P53=R53),1/T53,0)</f>
        <v/>
      </c>
      <c r="AA53" s="116">
        <f>IF(AND(S53=1,Q53=R53),1/T53,0)</f>
        <v/>
      </c>
    </row>
    <row r="54" ht="21" customHeight="1">
      <c r="A54" s="197" t="n">
        <v>51</v>
      </c>
      <c r="B54" s="228" t="n">
        <v>0</v>
      </c>
      <c r="C54" s="195" t="n">
        <v>75</v>
      </c>
      <c r="D54" s="195" t="n">
        <v>75</v>
      </c>
      <c r="E54" s="195" t="n">
        <v>100</v>
      </c>
      <c r="F54" s="195" t="n">
        <v>75</v>
      </c>
      <c r="G54" s="195" t="n">
        <v>100</v>
      </c>
      <c r="H54" s="196" t="n">
        <v>125</v>
      </c>
      <c r="I54" s="109">
        <f>MAX(C54:H54)</f>
        <v/>
      </c>
      <c r="K54" s="113" t="n">
        <v>0</v>
      </c>
      <c r="L54" s="115">
        <f>C54-$L$1</f>
        <v/>
      </c>
      <c r="M54" s="115">
        <f>D54-$L$1</f>
        <v/>
      </c>
      <c r="N54" s="115">
        <f>E54-$L$1</f>
        <v/>
      </c>
      <c r="O54" s="115">
        <f>F54-$L$1</f>
        <v/>
      </c>
      <c r="P54" s="115">
        <f>G54-$L$1</f>
        <v/>
      </c>
      <c r="Q54" s="115">
        <f>H54-$L$1</f>
        <v/>
      </c>
      <c r="R54" s="116">
        <f>MAX(K54:Q54)</f>
        <v/>
      </c>
      <c r="S54" s="116">
        <f>IF(MAX(L54:Q54)&gt;=0,1,0)</f>
        <v/>
      </c>
      <c r="T54" s="117">
        <f>IF(S54=1,COUNTIF(L54:Q54,R54),0)</f>
        <v/>
      </c>
      <c r="V54" s="116">
        <f>IF(AND(S54=1,L54=R54),1/T54,0)</f>
        <v/>
      </c>
      <c r="W54" s="116">
        <f>IF(AND(S54=1,M54=R54),1/T54,0)</f>
        <v/>
      </c>
      <c r="X54" s="116">
        <f>IF(AND(S54=1,N54=R54),1/T54,0)</f>
        <v/>
      </c>
      <c r="Y54" s="116">
        <f>IF(AND(S54=1,O54=R54),1/T54,0)</f>
        <v/>
      </c>
      <c r="Z54" s="116">
        <f>IF(AND(S54=1,P54=R54),1/T54,0)</f>
        <v/>
      </c>
      <c r="AA54" s="116">
        <f>IF(AND(S54=1,Q54=R54),1/T54,0)</f>
        <v/>
      </c>
    </row>
    <row r="55" ht="21" customHeight="1">
      <c r="A55" s="197" t="n">
        <v>52</v>
      </c>
      <c r="B55" s="228" t="n">
        <v>1</v>
      </c>
      <c r="C55" s="195" t="n">
        <v>25</v>
      </c>
      <c r="D55" s="195" t="n">
        <v>25</v>
      </c>
      <c r="E55" s="195" t="n">
        <v>25</v>
      </c>
      <c r="F55" s="195" t="n">
        <v>25</v>
      </c>
      <c r="G55" s="195" t="n">
        <v>25</v>
      </c>
      <c r="H55" s="196" t="n">
        <v>25</v>
      </c>
      <c r="I55" s="109">
        <f>MAX(C55:H55)</f>
        <v/>
      </c>
      <c r="K55" s="113" t="n">
        <v>0</v>
      </c>
      <c r="L55" s="115">
        <f>C55-$L$1</f>
        <v/>
      </c>
      <c r="M55" s="115">
        <f>D55-$L$1</f>
        <v/>
      </c>
      <c r="N55" s="115">
        <f>E55-$L$1</f>
        <v/>
      </c>
      <c r="O55" s="115">
        <f>F55-$L$1</f>
        <v/>
      </c>
      <c r="P55" s="115">
        <f>G55-$L$1</f>
        <v/>
      </c>
      <c r="Q55" s="115">
        <f>H55-$L$1</f>
        <v/>
      </c>
      <c r="R55" s="116">
        <f>MAX(K55:Q55)</f>
        <v/>
      </c>
      <c r="S55" s="116">
        <f>IF(MAX(L55:Q55)&gt;=0,1,0)</f>
        <v/>
      </c>
      <c r="T55" s="117">
        <f>IF(S55=1,COUNTIF(L55:Q55,R55),0)</f>
        <v/>
      </c>
      <c r="V55" s="116">
        <f>IF(AND(S55=1,L55=R55),1/T55,0)</f>
        <v/>
      </c>
      <c r="W55" s="116">
        <f>IF(AND(S55=1,M55=R55),1/T55,0)</f>
        <v/>
      </c>
      <c r="X55" s="116">
        <f>IF(AND(S55=1,N55=R55),1/T55,0)</f>
        <v/>
      </c>
      <c r="Y55" s="116">
        <f>IF(AND(S55=1,O55=R55),1/T55,0)</f>
        <v/>
      </c>
      <c r="Z55" s="116">
        <f>IF(AND(S55=1,P55=R55),1/T55,0)</f>
        <v/>
      </c>
      <c r="AA55" s="116">
        <f>IF(AND(S55=1,Q55=R55),1/T55,0)</f>
        <v/>
      </c>
    </row>
    <row r="56" ht="21" customHeight="1">
      <c r="A56" s="197" t="n">
        <v>53</v>
      </c>
      <c r="B56" s="228" t="n">
        <v>0</v>
      </c>
      <c r="C56" s="195" t="n">
        <v>100</v>
      </c>
      <c r="D56" s="195" t="n">
        <v>75</v>
      </c>
      <c r="E56" s="195" t="n">
        <v>75</v>
      </c>
      <c r="F56" s="195" t="n">
        <v>75</v>
      </c>
      <c r="G56" s="195" t="n">
        <v>100</v>
      </c>
      <c r="H56" s="196" t="n">
        <v>100</v>
      </c>
      <c r="I56" s="109">
        <f>MAX(C56:H56)</f>
        <v/>
      </c>
      <c r="K56" s="113" t="n">
        <v>0</v>
      </c>
      <c r="L56" s="115">
        <f>C56-$L$1</f>
        <v/>
      </c>
      <c r="M56" s="115">
        <f>D56-$L$1</f>
        <v/>
      </c>
      <c r="N56" s="115">
        <f>E56-$L$1</f>
        <v/>
      </c>
      <c r="O56" s="115">
        <f>F56-$L$1</f>
        <v/>
      </c>
      <c r="P56" s="115">
        <f>G56-$L$1</f>
        <v/>
      </c>
      <c r="Q56" s="115">
        <f>H56-$L$1</f>
        <v/>
      </c>
      <c r="R56" s="116">
        <f>MAX(K56:Q56)</f>
        <v/>
      </c>
      <c r="S56" s="116">
        <f>IF(MAX(L56:Q56)&gt;=0,1,0)</f>
        <v/>
      </c>
      <c r="T56" s="117">
        <f>IF(S56=1,COUNTIF(L56:Q56,R56),0)</f>
        <v/>
      </c>
      <c r="V56" s="116">
        <f>IF(AND(S56=1,L56=R56),1/T56,0)</f>
        <v/>
      </c>
      <c r="W56" s="116">
        <f>IF(AND(S56=1,M56=R56),1/T56,0)</f>
        <v/>
      </c>
      <c r="X56" s="116">
        <f>IF(AND(S56=1,N56=R56),1/T56,0)</f>
        <v/>
      </c>
      <c r="Y56" s="116">
        <f>IF(AND(S56=1,O56=R56),1/T56,0)</f>
        <v/>
      </c>
      <c r="Z56" s="116">
        <f>IF(AND(S56=1,P56=R56),1/T56,0)</f>
        <v/>
      </c>
      <c r="AA56" s="116">
        <f>IF(AND(S56=1,Q56=R56),1/T56,0)</f>
        <v/>
      </c>
    </row>
    <row r="57" ht="21" customHeight="1">
      <c r="A57" s="197" t="n">
        <v>54</v>
      </c>
      <c r="B57" s="228" t="n">
        <v>1</v>
      </c>
      <c r="C57" s="195" t="n">
        <v>25</v>
      </c>
      <c r="D57" s="195" t="n">
        <v>25</v>
      </c>
      <c r="E57" s="195" t="n">
        <v>25</v>
      </c>
      <c r="F57" s="195" t="n">
        <v>50</v>
      </c>
      <c r="G57" s="195" t="n">
        <v>50</v>
      </c>
      <c r="H57" s="196" t="n">
        <v>25</v>
      </c>
      <c r="I57" s="109">
        <f>MAX(C57:H57)</f>
        <v/>
      </c>
      <c r="K57" s="113" t="n">
        <v>0</v>
      </c>
      <c r="L57" s="115">
        <f>C57-$L$1</f>
        <v/>
      </c>
      <c r="M57" s="115">
        <f>D57-$L$1</f>
        <v/>
      </c>
      <c r="N57" s="115">
        <f>E57-$L$1</f>
        <v/>
      </c>
      <c r="O57" s="115">
        <f>F57-$L$1</f>
        <v/>
      </c>
      <c r="P57" s="115">
        <f>G57-$L$1</f>
        <v/>
      </c>
      <c r="Q57" s="115">
        <f>H57-$L$1</f>
        <v/>
      </c>
      <c r="R57" s="116">
        <f>MAX(K57:Q57)</f>
        <v/>
      </c>
      <c r="S57" s="116">
        <f>IF(MAX(L57:Q57)&gt;=0,1,0)</f>
        <v/>
      </c>
      <c r="T57" s="117">
        <f>IF(S57=1,COUNTIF(L57:Q57,R57),0)</f>
        <v/>
      </c>
      <c r="V57" s="116">
        <f>IF(AND(S57=1,L57=R57),1/T57,0)</f>
        <v/>
      </c>
      <c r="W57" s="116">
        <f>IF(AND(S57=1,M57=R57),1/T57,0)</f>
        <v/>
      </c>
      <c r="X57" s="116">
        <f>IF(AND(S57=1,N57=R57),1/T57,0)</f>
        <v/>
      </c>
      <c r="Y57" s="116">
        <f>IF(AND(S57=1,O57=R57),1/T57,0)</f>
        <v/>
      </c>
      <c r="Z57" s="116">
        <f>IF(AND(S57=1,P57=R57),1/T57,0)</f>
        <v/>
      </c>
      <c r="AA57" s="116">
        <f>IF(AND(S57=1,Q57=R57),1/T57,0)</f>
        <v/>
      </c>
    </row>
    <row r="58" ht="21" customHeight="1">
      <c r="A58" s="197" t="n">
        <v>55</v>
      </c>
      <c r="B58" s="228" t="n">
        <v>0</v>
      </c>
      <c r="C58" s="195" t="n">
        <v>25</v>
      </c>
      <c r="D58" s="195" t="n">
        <v>25</v>
      </c>
      <c r="E58" s="195" t="n">
        <v>25</v>
      </c>
      <c r="F58" s="195" t="n">
        <v>25</v>
      </c>
      <c r="G58" s="195" t="n">
        <v>25</v>
      </c>
      <c r="H58" s="196" t="n">
        <v>25</v>
      </c>
      <c r="I58" s="109">
        <f>MAX(C58:H58)</f>
        <v/>
      </c>
      <c r="K58" s="113" t="n">
        <v>0</v>
      </c>
      <c r="L58" s="115">
        <f>C58-$L$1</f>
        <v/>
      </c>
      <c r="M58" s="115">
        <f>D58-$L$1</f>
        <v/>
      </c>
      <c r="N58" s="115">
        <f>E58-$L$1</f>
        <v/>
      </c>
      <c r="O58" s="115">
        <f>F58-$L$1</f>
        <v/>
      </c>
      <c r="P58" s="115">
        <f>G58-$L$1</f>
        <v/>
      </c>
      <c r="Q58" s="115">
        <f>H58-$L$1</f>
        <v/>
      </c>
      <c r="R58" s="116">
        <f>MAX(K58:Q58)</f>
        <v/>
      </c>
      <c r="S58" s="116">
        <f>IF(MAX(L58:Q58)&gt;=0,1,0)</f>
        <v/>
      </c>
      <c r="T58" s="117">
        <f>IF(S58=1,COUNTIF(L58:Q58,R58),0)</f>
        <v/>
      </c>
      <c r="V58" s="116">
        <f>IF(AND(S58=1,L58=R58),1/T58,0)</f>
        <v/>
      </c>
      <c r="W58" s="116">
        <f>IF(AND(S58=1,M58=R58),1/T58,0)</f>
        <v/>
      </c>
      <c r="X58" s="116">
        <f>IF(AND(S58=1,N58=R58),1/T58,0)</f>
        <v/>
      </c>
      <c r="Y58" s="116">
        <f>IF(AND(S58=1,O58=R58),1/T58,0)</f>
        <v/>
      </c>
      <c r="Z58" s="116">
        <f>IF(AND(S58=1,P58=R58),1/T58,0)</f>
        <v/>
      </c>
      <c r="AA58" s="116">
        <f>IF(AND(S58=1,Q58=R58),1/T58,0)</f>
        <v/>
      </c>
    </row>
    <row r="59" ht="21" customHeight="1">
      <c r="A59" s="197" t="n">
        <v>56</v>
      </c>
      <c r="B59" s="228" t="n">
        <v>1</v>
      </c>
      <c r="C59" s="195" t="n">
        <v>100</v>
      </c>
      <c r="D59" s="195" t="n">
        <v>100</v>
      </c>
      <c r="E59" s="195" t="n">
        <v>100</v>
      </c>
      <c r="F59" s="195" t="n">
        <v>100</v>
      </c>
      <c r="G59" s="195" t="n">
        <v>100</v>
      </c>
      <c r="H59" s="196" t="n">
        <v>100</v>
      </c>
      <c r="I59" s="109">
        <f>MAX(C59:H59)</f>
        <v/>
      </c>
      <c r="K59" s="113" t="n">
        <v>0</v>
      </c>
      <c r="L59" s="115">
        <f>C59-$L$1</f>
        <v/>
      </c>
      <c r="M59" s="115">
        <f>D59-$L$1</f>
        <v/>
      </c>
      <c r="N59" s="115">
        <f>E59-$L$1</f>
        <v/>
      </c>
      <c r="O59" s="115">
        <f>F59-$L$1</f>
        <v/>
      </c>
      <c r="P59" s="115">
        <f>G59-$L$1</f>
        <v/>
      </c>
      <c r="Q59" s="115">
        <f>H59-$L$1</f>
        <v/>
      </c>
      <c r="R59" s="116">
        <f>MAX(K59:Q59)</f>
        <v/>
      </c>
      <c r="S59" s="116">
        <f>IF(MAX(L59:Q59)&gt;=0,1,0)</f>
        <v/>
      </c>
      <c r="T59" s="117">
        <f>IF(S59=1,COUNTIF(L59:Q59,R59),0)</f>
        <v/>
      </c>
      <c r="V59" s="116">
        <f>IF(AND(S59=1,L59=R59),1/T59,0)</f>
        <v/>
      </c>
      <c r="W59" s="116">
        <f>IF(AND(S59=1,M59=R59),1/T59,0)</f>
        <v/>
      </c>
      <c r="X59" s="116">
        <f>IF(AND(S59=1,N59=R59),1/T59,0)</f>
        <v/>
      </c>
      <c r="Y59" s="116">
        <f>IF(AND(S59=1,O59=R59),1/T59,0)</f>
        <v/>
      </c>
      <c r="Z59" s="116">
        <f>IF(AND(S59=1,P59=R59),1/T59,0)</f>
        <v/>
      </c>
      <c r="AA59" s="116">
        <f>IF(AND(S59=1,Q59=R59),1/T59,0)</f>
        <v/>
      </c>
    </row>
    <row r="60" ht="21" customHeight="1">
      <c r="A60" s="197" t="n">
        <v>57</v>
      </c>
      <c r="B60" s="228" t="n">
        <v>0</v>
      </c>
      <c r="C60" s="195" t="n">
        <v>75</v>
      </c>
      <c r="D60" s="195" t="n">
        <v>75</v>
      </c>
      <c r="E60" s="195" t="n">
        <v>75</v>
      </c>
      <c r="F60" s="195" t="n">
        <v>75</v>
      </c>
      <c r="G60" s="195" t="n">
        <v>75</v>
      </c>
      <c r="H60" s="196" t="n">
        <v>75</v>
      </c>
      <c r="I60" s="109">
        <f>MAX(C60:H60)</f>
        <v/>
      </c>
      <c r="K60" s="113" t="n">
        <v>0</v>
      </c>
      <c r="L60" s="115">
        <f>C60-$L$1</f>
        <v/>
      </c>
      <c r="M60" s="115">
        <f>D60-$L$1</f>
        <v/>
      </c>
      <c r="N60" s="115">
        <f>E60-$L$1</f>
        <v/>
      </c>
      <c r="O60" s="115">
        <f>F60-$L$1</f>
        <v/>
      </c>
      <c r="P60" s="115">
        <f>G60-$L$1</f>
        <v/>
      </c>
      <c r="Q60" s="115">
        <f>H60-$L$1</f>
        <v/>
      </c>
      <c r="R60" s="116">
        <f>MAX(K60:Q60)</f>
        <v/>
      </c>
      <c r="S60" s="116">
        <f>IF(MAX(L60:Q60)&gt;=0,1,0)</f>
        <v/>
      </c>
      <c r="T60" s="117">
        <f>IF(S60=1,COUNTIF(L60:Q60,R60),0)</f>
        <v/>
      </c>
      <c r="V60" s="116">
        <f>IF(AND(S60=1,L60=R60),1/T60,0)</f>
        <v/>
      </c>
      <c r="W60" s="116">
        <f>IF(AND(S60=1,M60=R60),1/T60,0)</f>
        <v/>
      </c>
      <c r="X60" s="116">
        <f>IF(AND(S60=1,N60=R60),1/T60,0)</f>
        <v/>
      </c>
      <c r="Y60" s="116">
        <f>IF(AND(S60=1,O60=R60),1/T60,0)</f>
        <v/>
      </c>
      <c r="Z60" s="116">
        <f>IF(AND(S60=1,P60=R60),1/T60,0)</f>
        <v/>
      </c>
      <c r="AA60" s="116">
        <f>IF(AND(S60=1,Q60=R60),1/T60,0)</f>
        <v/>
      </c>
    </row>
    <row r="61" ht="21" customHeight="1">
      <c r="A61" s="197" t="n">
        <v>58</v>
      </c>
      <c r="B61" s="228" t="n">
        <v>1</v>
      </c>
      <c r="C61" s="195" t="n">
        <v>50</v>
      </c>
      <c r="D61" s="195" t="n">
        <v>50</v>
      </c>
      <c r="E61" s="195" t="n">
        <v>50</v>
      </c>
      <c r="F61" s="195" t="n">
        <v>50</v>
      </c>
      <c r="G61" s="195" t="n">
        <v>50</v>
      </c>
      <c r="H61" s="196" t="n">
        <v>50</v>
      </c>
      <c r="I61" s="109">
        <f>MAX(C61:H61)</f>
        <v/>
      </c>
      <c r="K61" s="113" t="n">
        <v>0</v>
      </c>
      <c r="L61" s="115">
        <f>C61-$L$1</f>
        <v/>
      </c>
      <c r="M61" s="115">
        <f>D61-$L$1</f>
        <v/>
      </c>
      <c r="N61" s="115">
        <f>E61-$L$1</f>
        <v/>
      </c>
      <c r="O61" s="115">
        <f>F61-$L$1</f>
        <v/>
      </c>
      <c r="P61" s="115">
        <f>G61-$L$1</f>
        <v/>
      </c>
      <c r="Q61" s="115">
        <f>H61-$L$1</f>
        <v/>
      </c>
      <c r="R61" s="116">
        <f>MAX(K61:Q61)</f>
        <v/>
      </c>
      <c r="S61" s="116">
        <f>IF(MAX(L61:Q61)&gt;=0,1,0)</f>
        <v/>
      </c>
      <c r="T61" s="117">
        <f>IF(S61=1,COUNTIF(L61:Q61,R61),0)</f>
        <v/>
      </c>
      <c r="V61" s="116">
        <f>IF(AND(S61=1,L61=R61),1/T61,0)</f>
        <v/>
      </c>
      <c r="W61" s="116">
        <f>IF(AND(S61=1,M61=R61),1/T61,0)</f>
        <v/>
      </c>
      <c r="X61" s="116">
        <f>IF(AND(S61=1,N61=R61),1/T61,0)</f>
        <v/>
      </c>
      <c r="Y61" s="116">
        <f>IF(AND(S61=1,O61=R61),1/T61,0)</f>
        <v/>
      </c>
      <c r="Z61" s="116">
        <f>IF(AND(S61=1,P61=R61),1/T61,0)</f>
        <v/>
      </c>
      <c r="AA61" s="116">
        <f>IF(AND(S61=1,Q61=R61),1/T61,0)</f>
        <v/>
      </c>
    </row>
    <row r="62" ht="21" customHeight="1">
      <c r="A62" s="197" t="n">
        <v>59</v>
      </c>
      <c r="B62" s="228" t="n">
        <v>0</v>
      </c>
      <c r="C62" s="195" t="n">
        <v>100</v>
      </c>
      <c r="D62" s="195" t="n">
        <v>100</v>
      </c>
      <c r="E62" s="195" t="n">
        <v>100</v>
      </c>
      <c r="F62" s="195" t="n">
        <v>100</v>
      </c>
      <c r="G62" s="195" t="n">
        <v>100</v>
      </c>
      <c r="H62" s="196" t="n">
        <v>100</v>
      </c>
      <c r="I62" s="109">
        <f>MAX(C62:H62)</f>
        <v/>
      </c>
      <c r="K62" s="113" t="n">
        <v>0</v>
      </c>
      <c r="L62" s="115">
        <f>C62-$L$1</f>
        <v/>
      </c>
      <c r="M62" s="115">
        <f>D62-$L$1</f>
        <v/>
      </c>
      <c r="N62" s="115">
        <f>E62-$L$1</f>
        <v/>
      </c>
      <c r="O62" s="115">
        <f>F62-$L$1</f>
        <v/>
      </c>
      <c r="P62" s="115">
        <f>G62-$L$1</f>
        <v/>
      </c>
      <c r="Q62" s="115">
        <f>H62-$L$1</f>
        <v/>
      </c>
      <c r="R62" s="116">
        <f>MAX(K62:Q62)</f>
        <v/>
      </c>
      <c r="S62" s="116">
        <f>IF(MAX(L62:Q62)&gt;=0,1,0)</f>
        <v/>
      </c>
      <c r="T62" s="117">
        <f>IF(S62=1,COUNTIF(L62:Q62,R62),0)</f>
        <v/>
      </c>
      <c r="V62" s="116">
        <f>IF(AND(S62=1,L62=R62),1/T62,0)</f>
        <v/>
      </c>
      <c r="W62" s="116">
        <f>IF(AND(S62=1,M62=R62),1/T62,0)</f>
        <v/>
      </c>
      <c r="X62" s="116">
        <f>IF(AND(S62=1,N62=R62),1/T62,0)</f>
        <v/>
      </c>
      <c r="Y62" s="116">
        <f>IF(AND(S62=1,O62=R62),1/T62,0)</f>
        <v/>
      </c>
      <c r="Z62" s="116">
        <f>IF(AND(S62=1,P62=R62),1/T62,0)</f>
        <v/>
      </c>
      <c r="AA62" s="116">
        <f>IF(AND(S62=1,Q62=R62),1/T62,0)</f>
        <v/>
      </c>
    </row>
    <row r="63" ht="21" customHeight="1">
      <c r="A63" s="197" t="n">
        <v>60</v>
      </c>
      <c r="B63" s="228" t="n">
        <v>0</v>
      </c>
      <c r="C63" s="195" t="n">
        <v>75</v>
      </c>
      <c r="D63" s="195" t="n">
        <v>75</v>
      </c>
      <c r="E63" s="195" t="n">
        <v>75</v>
      </c>
      <c r="F63" s="195" t="n">
        <v>75</v>
      </c>
      <c r="G63" s="195" t="n">
        <v>75</v>
      </c>
      <c r="H63" s="196" t="n">
        <v>75</v>
      </c>
      <c r="I63" s="109">
        <f>MAX(C63:H63)</f>
        <v/>
      </c>
      <c r="K63" s="113" t="n">
        <v>0</v>
      </c>
      <c r="L63" s="115">
        <f>C63-$L$1</f>
        <v/>
      </c>
      <c r="M63" s="115">
        <f>D63-$L$1</f>
        <v/>
      </c>
      <c r="N63" s="115">
        <f>E63-$L$1</f>
        <v/>
      </c>
      <c r="O63" s="115">
        <f>F63-$L$1</f>
        <v/>
      </c>
      <c r="P63" s="115">
        <f>G63-$L$1</f>
        <v/>
      </c>
      <c r="Q63" s="115">
        <f>H63-$L$1</f>
        <v/>
      </c>
      <c r="R63" s="116">
        <f>MAX(K63:Q63)</f>
        <v/>
      </c>
      <c r="S63" s="116">
        <f>IF(MAX(L63:Q63)&gt;=0,1,0)</f>
        <v/>
      </c>
      <c r="T63" s="117">
        <f>IF(S63=1,COUNTIF(L63:Q63,R63),0)</f>
        <v/>
      </c>
      <c r="V63" s="116">
        <f>IF(AND(S63=1,L63=R63),1/T63,0)</f>
        <v/>
      </c>
      <c r="W63" s="116">
        <f>IF(AND(S63=1,M63=R63),1/T63,0)</f>
        <v/>
      </c>
      <c r="X63" s="116">
        <f>IF(AND(S63=1,N63=R63),1/T63,0)</f>
        <v/>
      </c>
      <c r="Y63" s="116">
        <f>IF(AND(S63=1,O63=R63),1/T63,0)</f>
        <v/>
      </c>
      <c r="Z63" s="116">
        <f>IF(AND(S63=1,P63=R63),1/T63,0)</f>
        <v/>
      </c>
      <c r="AA63" s="116">
        <f>IF(AND(S63=1,Q63=R63),1/T63,0)</f>
        <v/>
      </c>
    </row>
    <row r="64" ht="21" customHeight="1">
      <c r="A64" s="197" t="n">
        <v>61</v>
      </c>
      <c r="B64" s="228" t="n">
        <v>0</v>
      </c>
      <c r="C64" s="195" t="n">
        <v>100</v>
      </c>
      <c r="D64" s="195" t="n">
        <v>75</v>
      </c>
      <c r="E64" s="195" t="n">
        <v>75</v>
      </c>
      <c r="F64" s="195" t="n">
        <v>75</v>
      </c>
      <c r="G64" s="195" t="n">
        <v>100</v>
      </c>
      <c r="H64" s="196" t="n">
        <v>75</v>
      </c>
      <c r="I64" s="109">
        <f>MAX(C64:H64)</f>
        <v/>
      </c>
      <c r="K64" s="113" t="n">
        <v>0</v>
      </c>
      <c r="L64" s="115">
        <f>C64-$L$1</f>
        <v/>
      </c>
      <c r="M64" s="115">
        <f>D64-$L$1</f>
        <v/>
      </c>
      <c r="N64" s="115">
        <f>E64-$L$1</f>
        <v/>
      </c>
      <c r="O64" s="115">
        <f>F64-$L$1</f>
        <v/>
      </c>
      <c r="P64" s="115">
        <f>G64-$L$1</f>
        <v/>
      </c>
      <c r="Q64" s="115">
        <f>H64-$L$1</f>
        <v/>
      </c>
      <c r="R64" s="116">
        <f>MAX(K64:Q64)</f>
        <v/>
      </c>
      <c r="S64" s="116">
        <f>IF(MAX(L64:Q64)&gt;=0,1,0)</f>
        <v/>
      </c>
      <c r="T64" s="117">
        <f>IF(S64=1,COUNTIF(L64:Q64,R64),0)</f>
        <v/>
      </c>
      <c r="V64" s="116">
        <f>IF(AND(S64=1,L64=R64),1/T64,0)</f>
        <v/>
      </c>
      <c r="W64" s="116">
        <f>IF(AND(S64=1,M64=R64),1/T64,0)</f>
        <v/>
      </c>
      <c r="X64" s="116">
        <f>IF(AND(S64=1,N64=R64),1/T64,0)</f>
        <v/>
      </c>
      <c r="Y64" s="116">
        <f>IF(AND(S64=1,O64=R64),1/T64,0)</f>
        <v/>
      </c>
      <c r="Z64" s="116">
        <f>IF(AND(S64=1,P64=R64),1/T64,0)</f>
        <v/>
      </c>
      <c r="AA64" s="116">
        <f>IF(AND(S64=1,Q64=R64),1/T64,0)</f>
        <v/>
      </c>
    </row>
    <row r="65" ht="21" customHeight="1">
      <c r="A65" s="197" t="n">
        <v>62</v>
      </c>
      <c r="B65" s="228" t="n">
        <v>0</v>
      </c>
      <c r="C65" s="195" t="n">
        <v>100</v>
      </c>
      <c r="D65" s="195" t="n">
        <v>100</v>
      </c>
      <c r="E65" s="195" t="n">
        <v>100</v>
      </c>
      <c r="F65" s="195" t="n">
        <v>100</v>
      </c>
      <c r="G65" s="195" t="n">
        <v>100</v>
      </c>
      <c r="H65" s="196" t="n">
        <v>100</v>
      </c>
      <c r="I65" s="109">
        <f>MAX(C65:H65)</f>
        <v/>
      </c>
      <c r="K65" s="113" t="n">
        <v>0</v>
      </c>
      <c r="L65" s="115">
        <f>C65-$L$1</f>
        <v/>
      </c>
      <c r="M65" s="115">
        <f>D65-$L$1</f>
        <v/>
      </c>
      <c r="N65" s="115">
        <f>E65-$L$1</f>
        <v/>
      </c>
      <c r="O65" s="115">
        <f>F65-$L$1</f>
        <v/>
      </c>
      <c r="P65" s="115">
        <f>G65-$L$1</f>
        <v/>
      </c>
      <c r="Q65" s="115">
        <f>H65-$L$1</f>
        <v/>
      </c>
      <c r="R65" s="116">
        <f>MAX(K65:Q65)</f>
        <v/>
      </c>
      <c r="S65" s="116">
        <f>IF(MAX(L65:Q65)&gt;=0,1,0)</f>
        <v/>
      </c>
      <c r="T65" s="117">
        <f>IF(S65=1,COUNTIF(L65:Q65,R65),0)</f>
        <v/>
      </c>
      <c r="V65" s="116">
        <f>IF(AND(S65=1,L65=R65),1/T65,0)</f>
        <v/>
      </c>
      <c r="W65" s="116">
        <f>IF(AND(S65=1,M65=R65),1/T65,0)</f>
        <v/>
      </c>
      <c r="X65" s="116">
        <f>IF(AND(S65=1,N65=R65),1/T65,0)</f>
        <v/>
      </c>
      <c r="Y65" s="116">
        <f>IF(AND(S65=1,O65=R65),1/T65,0)</f>
        <v/>
      </c>
      <c r="Z65" s="116">
        <f>IF(AND(S65=1,P65=R65),1/T65,0)</f>
        <v/>
      </c>
      <c r="AA65" s="116">
        <f>IF(AND(S65=1,Q65=R65),1/T65,0)</f>
        <v/>
      </c>
    </row>
    <row r="66" ht="21" customHeight="1">
      <c r="A66" s="197" t="n">
        <v>63</v>
      </c>
      <c r="B66" s="228" t="n">
        <v>1</v>
      </c>
      <c r="C66" s="195" t="n">
        <v>50</v>
      </c>
      <c r="D66" s="195" t="n">
        <v>50</v>
      </c>
      <c r="E66" s="195" t="n">
        <v>50</v>
      </c>
      <c r="F66" s="195" t="n">
        <v>50</v>
      </c>
      <c r="G66" s="195" t="n">
        <v>50</v>
      </c>
      <c r="H66" s="196" t="n">
        <v>50</v>
      </c>
      <c r="I66" s="109">
        <f>MAX(C66:H66)</f>
        <v/>
      </c>
      <c r="K66" s="113" t="n">
        <v>0</v>
      </c>
      <c r="L66" s="115">
        <f>C66-$L$1</f>
        <v/>
      </c>
      <c r="M66" s="115">
        <f>D66-$L$1</f>
        <v/>
      </c>
      <c r="N66" s="115">
        <f>E66-$L$1</f>
        <v/>
      </c>
      <c r="O66" s="115">
        <f>F66-$L$1</f>
        <v/>
      </c>
      <c r="P66" s="115">
        <f>G66-$L$1</f>
        <v/>
      </c>
      <c r="Q66" s="115">
        <f>H66-$L$1</f>
        <v/>
      </c>
      <c r="R66" s="116">
        <f>MAX(K66:Q66)</f>
        <v/>
      </c>
      <c r="S66" s="116">
        <f>IF(MAX(L66:Q66)&gt;=0,1,0)</f>
        <v/>
      </c>
      <c r="T66" s="117">
        <f>IF(S66=1,COUNTIF(L66:Q66,R66),0)</f>
        <v/>
      </c>
      <c r="V66" s="116">
        <f>IF(AND(S66=1,L66=R66),1/T66,0)</f>
        <v/>
      </c>
      <c r="W66" s="116">
        <f>IF(AND(S66=1,M66=R66),1/T66,0)</f>
        <v/>
      </c>
      <c r="X66" s="116">
        <f>IF(AND(S66=1,N66=R66),1/T66,0)</f>
        <v/>
      </c>
      <c r="Y66" s="116">
        <f>IF(AND(S66=1,O66=R66),1/T66,0)</f>
        <v/>
      </c>
      <c r="Z66" s="116">
        <f>IF(AND(S66=1,P66=R66),1/T66,0)</f>
        <v/>
      </c>
      <c r="AA66" s="116">
        <f>IF(AND(S66=1,Q66=R66),1/T66,0)</f>
        <v/>
      </c>
    </row>
    <row r="67" ht="21" customHeight="1">
      <c r="A67" s="197" t="n">
        <v>64</v>
      </c>
      <c r="B67" s="228" t="n">
        <v>0</v>
      </c>
      <c r="C67" s="195" t="n">
        <v>50</v>
      </c>
      <c r="D67" s="195" t="n">
        <v>50</v>
      </c>
      <c r="E67" s="195" t="n">
        <v>50</v>
      </c>
      <c r="F67" s="195" t="n">
        <v>50</v>
      </c>
      <c r="G67" s="195" t="n">
        <v>50</v>
      </c>
      <c r="H67" s="196" t="n">
        <v>50</v>
      </c>
      <c r="I67" s="109">
        <f>MAX(C67:H67)</f>
        <v/>
      </c>
      <c r="K67" s="113" t="n">
        <v>0</v>
      </c>
      <c r="L67" s="115">
        <f>C67-$L$1</f>
        <v/>
      </c>
      <c r="M67" s="115">
        <f>D67-$L$1</f>
        <v/>
      </c>
      <c r="N67" s="115">
        <f>E67-$L$1</f>
        <v/>
      </c>
      <c r="O67" s="115">
        <f>F67-$L$1</f>
        <v/>
      </c>
      <c r="P67" s="115">
        <f>G67-$L$1</f>
        <v/>
      </c>
      <c r="Q67" s="115">
        <f>H67-$L$1</f>
        <v/>
      </c>
      <c r="R67" s="116">
        <f>MAX(K67:Q67)</f>
        <v/>
      </c>
      <c r="S67" s="116">
        <f>IF(MAX(L67:Q67)&gt;=0,1,0)</f>
        <v/>
      </c>
      <c r="T67" s="117">
        <f>IF(S67=1,COUNTIF(L67:Q67,R67),0)</f>
        <v/>
      </c>
      <c r="V67" s="116">
        <f>IF(AND(S67=1,L67=R67),1/T67,0)</f>
        <v/>
      </c>
      <c r="W67" s="116">
        <f>IF(AND(S67=1,M67=R67),1/T67,0)</f>
        <v/>
      </c>
      <c r="X67" s="116">
        <f>IF(AND(S67=1,N67=R67),1/T67,0)</f>
        <v/>
      </c>
      <c r="Y67" s="116">
        <f>IF(AND(S67=1,O67=R67),1/T67,0)</f>
        <v/>
      </c>
      <c r="Z67" s="116">
        <f>IF(AND(S67=1,P67=R67),1/T67,0)</f>
        <v/>
      </c>
      <c r="AA67" s="116">
        <f>IF(AND(S67=1,Q67=R67),1/T67,0)</f>
        <v/>
      </c>
    </row>
    <row r="68" ht="21" customHeight="1">
      <c r="A68" s="197" t="n">
        <v>65</v>
      </c>
      <c r="B68" s="228" t="n">
        <v>1</v>
      </c>
      <c r="C68" s="195" t="n">
        <v>25</v>
      </c>
      <c r="D68" s="195" t="n">
        <v>50</v>
      </c>
      <c r="E68" s="195" t="n">
        <v>50</v>
      </c>
      <c r="F68" s="195" t="n">
        <v>50</v>
      </c>
      <c r="G68" s="195" t="n">
        <v>50</v>
      </c>
      <c r="H68" s="196" t="n">
        <v>25</v>
      </c>
      <c r="I68" s="109">
        <f>MAX(C68:H68)</f>
        <v/>
      </c>
      <c r="K68" s="113" t="n">
        <v>0</v>
      </c>
      <c r="L68" s="115">
        <f>C68-$L$1</f>
        <v/>
      </c>
      <c r="M68" s="115">
        <f>D68-$L$1</f>
        <v/>
      </c>
      <c r="N68" s="115">
        <f>E68-$L$1</f>
        <v/>
      </c>
      <c r="O68" s="115">
        <f>F68-$L$1</f>
        <v/>
      </c>
      <c r="P68" s="115">
        <f>G68-$L$1</f>
        <v/>
      </c>
      <c r="Q68" s="115">
        <f>H68-$L$1</f>
        <v/>
      </c>
      <c r="R68" s="116">
        <f>MAX(K68:Q68)</f>
        <v/>
      </c>
      <c r="S68" s="116">
        <f>IF(MAX(L68:Q68)&gt;=0,1,0)</f>
        <v/>
      </c>
      <c r="T68" s="117">
        <f>IF(S68=1,COUNTIF(L68:Q68,R68),0)</f>
        <v/>
      </c>
      <c r="V68" s="116">
        <f>IF(AND(S68=1,L68=R68),1/T68,0)</f>
        <v/>
      </c>
      <c r="W68" s="116">
        <f>IF(AND(S68=1,M68=R68),1/T68,0)</f>
        <v/>
      </c>
      <c r="X68" s="116">
        <f>IF(AND(S68=1,N68=R68),1/T68,0)</f>
        <v/>
      </c>
      <c r="Y68" s="116">
        <f>IF(AND(S68=1,O68=R68),1/T68,0)</f>
        <v/>
      </c>
      <c r="Z68" s="116">
        <f>IF(AND(S68=1,P68=R68),1/T68,0)</f>
        <v/>
      </c>
      <c r="AA68" s="116">
        <f>IF(AND(S68=1,Q68=R68),1/T68,0)</f>
        <v/>
      </c>
    </row>
    <row r="69" ht="21" customHeight="1">
      <c r="A69" s="197" t="n">
        <v>66</v>
      </c>
      <c r="B69" s="228" t="n">
        <v>0</v>
      </c>
      <c r="C69" s="195" t="n">
        <v>75</v>
      </c>
      <c r="D69" s="195" t="n">
        <v>75</v>
      </c>
      <c r="E69" s="195" t="n">
        <v>75</v>
      </c>
      <c r="F69" s="195" t="n">
        <v>75</v>
      </c>
      <c r="G69" s="195" t="n">
        <v>75</v>
      </c>
      <c r="H69" s="196" t="n">
        <v>75</v>
      </c>
      <c r="I69" s="109">
        <f>MAX(C69:H69)</f>
        <v/>
      </c>
      <c r="K69" s="113" t="n">
        <v>0</v>
      </c>
      <c r="L69" s="115">
        <f>C69-$L$1</f>
        <v/>
      </c>
      <c r="M69" s="115">
        <f>D69-$L$1</f>
        <v/>
      </c>
      <c r="N69" s="115">
        <f>E69-$L$1</f>
        <v/>
      </c>
      <c r="O69" s="115">
        <f>F69-$L$1</f>
        <v/>
      </c>
      <c r="P69" s="115">
        <f>G69-$L$1</f>
        <v/>
      </c>
      <c r="Q69" s="115">
        <f>H69-$L$1</f>
        <v/>
      </c>
      <c r="R69" s="116">
        <f>MAX(K69:Q69)</f>
        <v/>
      </c>
      <c r="S69" s="116">
        <f>IF(MAX(L69:Q69)&gt;=0,1,0)</f>
        <v/>
      </c>
      <c r="T69" s="117">
        <f>IF(S69=1,COUNTIF(L69:Q69,R69),0)</f>
        <v/>
      </c>
      <c r="V69" s="116">
        <f>IF(AND(S69=1,L69=R69),1/T69,0)</f>
        <v/>
      </c>
      <c r="W69" s="116">
        <f>IF(AND(S69=1,M69=R69),1/T69,0)</f>
        <v/>
      </c>
      <c r="X69" s="116">
        <f>IF(AND(S69=1,N69=R69),1/T69,0)</f>
        <v/>
      </c>
      <c r="Y69" s="116">
        <f>IF(AND(S69=1,O69=R69),1/T69,0)</f>
        <v/>
      </c>
      <c r="Z69" s="116">
        <f>IF(AND(S69=1,P69=R69),1/T69,0)</f>
        <v/>
      </c>
      <c r="AA69" s="116">
        <f>IF(AND(S69=1,Q69=R69),1/T69,0)</f>
        <v/>
      </c>
    </row>
    <row r="70" ht="21" customHeight="1">
      <c r="A70" s="197" t="n">
        <v>67</v>
      </c>
      <c r="B70" s="228" t="n">
        <v>0</v>
      </c>
      <c r="C70" s="195" t="n">
        <v>75</v>
      </c>
      <c r="D70" s="195" t="n">
        <v>50</v>
      </c>
      <c r="E70" s="195" t="n">
        <v>50</v>
      </c>
      <c r="F70" s="195" t="n">
        <v>50</v>
      </c>
      <c r="G70" s="195" t="n">
        <v>75</v>
      </c>
      <c r="H70" s="196" t="n">
        <v>75</v>
      </c>
      <c r="I70" s="109">
        <f>MAX(C70:H70)</f>
        <v/>
      </c>
      <c r="K70" s="113" t="n">
        <v>0</v>
      </c>
      <c r="L70" s="115">
        <f>C70-$L$1</f>
        <v/>
      </c>
      <c r="M70" s="115">
        <f>D70-$L$1</f>
        <v/>
      </c>
      <c r="N70" s="115">
        <f>E70-$L$1</f>
        <v/>
      </c>
      <c r="O70" s="115">
        <f>F70-$L$1</f>
        <v/>
      </c>
      <c r="P70" s="115">
        <f>G70-$L$1</f>
        <v/>
      </c>
      <c r="Q70" s="115">
        <f>H70-$L$1</f>
        <v/>
      </c>
      <c r="R70" s="116">
        <f>MAX(K70:Q70)</f>
        <v/>
      </c>
      <c r="S70" s="116">
        <f>IF(MAX(L70:Q70)&gt;=0,1,0)</f>
        <v/>
      </c>
      <c r="T70" s="117">
        <f>IF(S70=1,COUNTIF(L70:Q70,R70),0)</f>
        <v/>
      </c>
      <c r="V70" s="116">
        <f>IF(AND(S70=1,L70=R70),1/T70,0)</f>
        <v/>
      </c>
      <c r="W70" s="116">
        <f>IF(AND(S70=1,M70=R70),1/T70,0)</f>
        <v/>
      </c>
      <c r="X70" s="116">
        <f>IF(AND(S70=1,N70=R70),1/T70,0)</f>
        <v/>
      </c>
      <c r="Y70" s="116">
        <f>IF(AND(S70=1,O70=R70),1/T70,0)</f>
        <v/>
      </c>
      <c r="Z70" s="116">
        <f>IF(AND(S70=1,P70=R70),1/T70,0)</f>
        <v/>
      </c>
      <c r="AA70" s="116">
        <f>IF(AND(S70=1,Q70=R70),1/T70,0)</f>
        <v/>
      </c>
    </row>
    <row r="71" ht="21" customHeight="1">
      <c r="A71" s="197" t="n">
        <v>68</v>
      </c>
      <c r="B71" s="228" t="n">
        <v>1</v>
      </c>
      <c r="C71" s="195" t="n">
        <v>75</v>
      </c>
      <c r="D71" s="195" t="n">
        <v>25</v>
      </c>
      <c r="E71" s="195" t="n">
        <v>25</v>
      </c>
      <c r="F71" s="195" t="n">
        <v>25</v>
      </c>
      <c r="G71" s="195" t="n">
        <v>25</v>
      </c>
      <c r="H71" s="196" t="n">
        <v>75</v>
      </c>
      <c r="I71" s="109">
        <f>MAX(C71:H71)</f>
        <v/>
      </c>
      <c r="K71" s="113" t="n">
        <v>0</v>
      </c>
      <c r="L71" s="115">
        <f>C71-$L$1</f>
        <v/>
      </c>
      <c r="M71" s="115">
        <f>D71-$L$1</f>
        <v/>
      </c>
      <c r="N71" s="115">
        <f>E71-$L$1</f>
        <v/>
      </c>
      <c r="O71" s="115">
        <f>F71-$L$1</f>
        <v/>
      </c>
      <c r="P71" s="115">
        <f>G71-$L$1</f>
        <v/>
      </c>
      <c r="Q71" s="115">
        <f>H71-$L$1</f>
        <v/>
      </c>
      <c r="R71" s="116">
        <f>MAX(K71:Q71)</f>
        <v/>
      </c>
      <c r="S71" s="116">
        <f>IF(MAX(L71:Q71)&gt;=0,1,0)</f>
        <v/>
      </c>
      <c r="T71" s="117">
        <f>IF(S71=1,COUNTIF(L71:Q71,R71),0)</f>
        <v/>
      </c>
      <c r="V71" s="116">
        <f>IF(AND(S71=1,L71=R71),1/T71,0)</f>
        <v/>
      </c>
      <c r="W71" s="116">
        <f>IF(AND(S71=1,M71=R71),1/T71,0)</f>
        <v/>
      </c>
      <c r="X71" s="116">
        <f>IF(AND(S71=1,N71=R71),1/T71,0)</f>
        <v/>
      </c>
      <c r="Y71" s="116">
        <f>IF(AND(S71=1,O71=R71),1/T71,0)</f>
        <v/>
      </c>
      <c r="Z71" s="116">
        <f>IF(AND(S71=1,P71=R71),1/T71,0)</f>
        <v/>
      </c>
      <c r="AA71" s="116">
        <f>IF(AND(S71=1,Q71=R71),1/T71,0)</f>
        <v/>
      </c>
    </row>
    <row r="72" ht="21" customHeight="1">
      <c r="A72" s="197" t="n">
        <v>69</v>
      </c>
      <c r="B72" s="228" t="n">
        <v>0</v>
      </c>
      <c r="C72" s="195" t="n">
        <v>50</v>
      </c>
      <c r="D72" s="195" t="n">
        <v>50</v>
      </c>
      <c r="E72" s="195" t="n">
        <v>50</v>
      </c>
      <c r="F72" s="195" t="n">
        <v>50</v>
      </c>
      <c r="G72" s="195" t="n">
        <v>50</v>
      </c>
      <c r="H72" s="196" t="n">
        <v>50</v>
      </c>
      <c r="I72" s="109">
        <f>MAX(C72:H72)</f>
        <v/>
      </c>
      <c r="K72" s="113" t="n">
        <v>0</v>
      </c>
      <c r="L72" s="115">
        <f>C72-$L$1</f>
        <v/>
      </c>
      <c r="M72" s="115">
        <f>D72-$L$1</f>
        <v/>
      </c>
      <c r="N72" s="115">
        <f>E72-$L$1</f>
        <v/>
      </c>
      <c r="O72" s="115">
        <f>F72-$L$1</f>
        <v/>
      </c>
      <c r="P72" s="115">
        <f>G72-$L$1</f>
        <v/>
      </c>
      <c r="Q72" s="115">
        <f>H72-$L$1</f>
        <v/>
      </c>
      <c r="R72" s="116">
        <f>MAX(K72:Q72)</f>
        <v/>
      </c>
      <c r="S72" s="116">
        <f>IF(MAX(L72:Q72)&gt;=0,1,0)</f>
        <v/>
      </c>
      <c r="T72" s="117">
        <f>IF(S72=1,COUNTIF(L72:Q72,R72),0)</f>
        <v/>
      </c>
      <c r="V72" s="116">
        <f>IF(AND(S72=1,L72=R72),1/T72,0)</f>
        <v/>
      </c>
      <c r="W72" s="116">
        <f>IF(AND(S72=1,M72=R72),1/T72,0)</f>
        <v/>
      </c>
      <c r="X72" s="116">
        <f>IF(AND(S72=1,N72=R72),1/T72,0)</f>
        <v/>
      </c>
      <c r="Y72" s="116">
        <f>IF(AND(S72=1,O72=R72),1/T72,0)</f>
        <v/>
      </c>
      <c r="Z72" s="116">
        <f>IF(AND(S72=1,P72=R72),1/T72,0)</f>
        <v/>
      </c>
      <c r="AA72" s="116">
        <f>IF(AND(S72=1,Q72=R72),1/T72,0)</f>
        <v/>
      </c>
    </row>
    <row r="73" ht="21" customHeight="1">
      <c r="A73" s="197" t="n">
        <v>70</v>
      </c>
      <c r="B73" s="228" t="n">
        <v>0</v>
      </c>
      <c r="C73" s="195" t="n">
        <v>75</v>
      </c>
      <c r="D73" s="195" t="n">
        <v>25</v>
      </c>
      <c r="E73" s="195" t="n">
        <v>25</v>
      </c>
      <c r="F73" s="195" t="n">
        <v>25</v>
      </c>
      <c r="G73" s="195" t="n">
        <v>75</v>
      </c>
      <c r="H73" s="196" t="n">
        <v>25</v>
      </c>
      <c r="I73" s="109">
        <f>MAX(C73:H73)</f>
        <v/>
      </c>
      <c r="K73" s="113" t="n">
        <v>0</v>
      </c>
      <c r="L73" s="115">
        <f>C73-$L$1</f>
        <v/>
      </c>
      <c r="M73" s="115">
        <f>D73-$L$1</f>
        <v/>
      </c>
      <c r="N73" s="115">
        <f>E73-$L$1</f>
        <v/>
      </c>
      <c r="O73" s="115">
        <f>F73-$L$1</f>
        <v/>
      </c>
      <c r="P73" s="115">
        <f>G73-$L$1</f>
        <v/>
      </c>
      <c r="Q73" s="115">
        <f>H73-$L$1</f>
        <v/>
      </c>
      <c r="R73" s="116">
        <f>MAX(K73:Q73)</f>
        <v/>
      </c>
      <c r="S73" s="116">
        <f>IF(MAX(L73:Q73)&gt;=0,1,0)</f>
        <v/>
      </c>
      <c r="T73" s="117">
        <f>IF(S73=1,COUNTIF(L73:Q73,R73),0)</f>
        <v/>
      </c>
      <c r="V73" s="116">
        <f>IF(AND(S73=1,L73=R73),1/T73,0)</f>
        <v/>
      </c>
      <c r="W73" s="116">
        <f>IF(AND(S73=1,M73=R73),1/T73,0)</f>
        <v/>
      </c>
      <c r="X73" s="116">
        <f>IF(AND(S73=1,N73=R73),1/T73,0)</f>
        <v/>
      </c>
      <c r="Y73" s="116">
        <f>IF(AND(S73=1,O73=R73),1/T73,0)</f>
        <v/>
      </c>
      <c r="Z73" s="116">
        <f>IF(AND(S73=1,P73=R73),1/T73,0)</f>
        <v/>
      </c>
      <c r="AA73" s="116">
        <f>IF(AND(S73=1,Q73=R73),1/T73,0)</f>
        <v/>
      </c>
    </row>
    <row r="74" ht="21" customHeight="1">
      <c r="A74" s="197" t="n">
        <v>71</v>
      </c>
      <c r="B74" s="228" t="n">
        <v>0</v>
      </c>
      <c r="C74" s="195" t="n">
        <v>75</v>
      </c>
      <c r="D74" s="195" t="n">
        <v>50</v>
      </c>
      <c r="E74" s="195" t="n">
        <v>75</v>
      </c>
      <c r="F74" s="195" t="n">
        <v>50</v>
      </c>
      <c r="G74" s="195" t="n">
        <v>75</v>
      </c>
      <c r="H74" s="196" t="n">
        <v>25</v>
      </c>
      <c r="I74" s="109">
        <f>MAX(C74:H74)</f>
        <v/>
      </c>
      <c r="K74" s="113" t="n">
        <v>0</v>
      </c>
      <c r="L74" s="115">
        <f>C74-$L$1</f>
        <v/>
      </c>
      <c r="M74" s="115">
        <f>D74-$L$1</f>
        <v/>
      </c>
      <c r="N74" s="115">
        <f>E74-$L$1</f>
        <v/>
      </c>
      <c r="O74" s="115">
        <f>F74-$L$1</f>
        <v/>
      </c>
      <c r="P74" s="115">
        <f>G74-$L$1</f>
        <v/>
      </c>
      <c r="Q74" s="115">
        <f>H74-$L$1</f>
        <v/>
      </c>
      <c r="R74" s="116">
        <f>MAX(K74:Q74)</f>
        <v/>
      </c>
      <c r="S74" s="116">
        <f>IF(MAX(L74:Q74)&gt;=0,1,0)</f>
        <v/>
      </c>
      <c r="T74" s="117">
        <f>IF(S74=1,COUNTIF(L74:Q74,R74),0)</f>
        <v/>
      </c>
      <c r="V74" s="116">
        <f>IF(AND(S74=1,L74=R74),1/T74,0)</f>
        <v/>
      </c>
      <c r="W74" s="116">
        <f>IF(AND(S74=1,M74=R74),1/T74,0)</f>
        <v/>
      </c>
      <c r="X74" s="116">
        <f>IF(AND(S74=1,N74=R74),1/T74,0)</f>
        <v/>
      </c>
      <c r="Y74" s="116">
        <f>IF(AND(S74=1,O74=R74),1/T74,0)</f>
        <v/>
      </c>
      <c r="Z74" s="116">
        <f>IF(AND(S74=1,P74=R74),1/T74,0)</f>
        <v/>
      </c>
      <c r="AA74" s="116">
        <f>IF(AND(S74=1,Q74=R74),1/T74,0)</f>
        <v/>
      </c>
    </row>
    <row r="75" ht="21" customHeight="1">
      <c r="A75" s="197" t="n">
        <v>72</v>
      </c>
      <c r="B75" s="228" t="n">
        <v>1</v>
      </c>
      <c r="C75" s="195" t="n">
        <v>50</v>
      </c>
      <c r="D75" s="195" t="n">
        <v>50</v>
      </c>
      <c r="E75" s="195" t="n">
        <v>50</v>
      </c>
      <c r="F75" s="195" t="n">
        <v>50</v>
      </c>
      <c r="G75" s="195" t="n">
        <v>75</v>
      </c>
      <c r="H75" s="196" t="n">
        <v>50</v>
      </c>
      <c r="I75" s="109">
        <f>MAX(C75:H75)</f>
        <v/>
      </c>
      <c r="K75" s="113" t="n">
        <v>0</v>
      </c>
      <c r="L75" s="115">
        <f>C75-$L$1</f>
        <v/>
      </c>
      <c r="M75" s="115">
        <f>D75-$L$1</f>
        <v/>
      </c>
      <c r="N75" s="115">
        <f>E75-$L$1</f>
        <v/>
      </c>
      <c r="O75" s="115">
        <f>F75-$L$1</f>
        <v/>
      </c>
      <c r="P75" s="115">
        <f>G75-$L$1</f>
        <v/>
      </c>
      <c r="Q75" s="115">
        <f>H75-$L$1</f>
        <v/>
      </c>
      <c r="R75" s="116">
        <f>MAX(K75:Q75)</f>
        <v/>
      </c>
      <c r="S75" s="116">
        <f>IF(MAX(L75:Q75)&gt;=0,1,0)</f>
        <v/>
      </c>
      <c r="T75" s="117">
        <f>IF(S75=1,COUNTIF(L75:Q75,R75),0)</f>
        <v/>
      </c>
      <c r="V75" s="116">
        <f>IF(AND(S75=1,L75=R75),1/T75,0)</f>
        <v/>
      </c>
      <c r="W75" s="116">
        <f>IF(AND(S75=1,M75=R75),1/T75,0)</f>
        <v/>
      </c>
      <c r="X75" s="116">
        <f>IF(AND(S75=1,N75=R75),1/T75,0)</f>
        <v/>
      </c>
      <c r="Y75" s="116">
        <f>IF(AND(S75=1,O75=R75),1/T75,0)</f>
        <v/>
      </c>
      <c r="Z75" s="116">
        <f>IF(AND(S75=1,P75=R75),1/T75,0)</f>
        <v/>
      </c>
      <c r="AA75" s="116">
        <f>IF(AND(S75=1,Q75=R75),1/T75,0)</f>
        <v/>
      </c>
    </row>
    <row r="76" ht="21" customHeight="1">
      <c r="A76" s="197" t="n">
        <v>73</v>
      </c>
      <c r="B76" s="228" t="n">
        <v>0</v>
      </c>
      <c r="C76" s="195" t="n">
        <v>50</v>
      </c>
      <c r="D76" s="195" t="n">
        <v>25</v>
      </c>
      <c r="E76" s="195" t="n">
        <v>50</v>
      </c>
      <c r="F76" s="195" t="n">
        <v>50</v>
      </c>
      <c r="G76" s="195" t="n">
        <v>50</v>
      </c>
      <c r="H76" s="196" t="n">
        <v>25</v>
      </c>
      <c r="I76" s="109">
        <f>MAX(C76:H76)</f>
        <v/>
      </c>
      <c r="K76" s="113" t="n">
        <v>0</v>
      </c>
      <c r="L76" s="115">
        <f>C76-$L$1</f>
        <v/>
      </c>
      <c r="M76" s="115">
        <f>D76-$L$1</f>
        <v/>
      </c>
      <c r="N76" s="115">
        <f>E76-$L$1</f>
        <v/>
      </c>
      <c r="O76" s="115">
        <f>F76-$L$1</f>
        <v/>
      </c>
      <c r="P76" s="115">
        <f>G76-$L$1</f>
        <v/>
      </c>
      <c r="Q76" s="115">
        <f>H76-$L$1</f>
        <v/>
      </c>
      <c r="R76" s="116">
        <f>MAX(K76:Q76)</f>
        <v/>
      </c>
      <c r="S76" s="116">
        <f>IF(MAX(L76:Q76)&gt;=0,1,0)</f>
        <v/>
      </c>
      <c r="T76" s="117">
        <f>IF(S76=1,COUNTIF(L76:Q76,R76),0)</f>
        <v/>
      </c>
      <c r="V76" s="116">
        <f>IF(AND(S76=1,L76=R76),1/T76,0)</f>
        <v/>
      </c>
      <c r="W76" s="116">
        <f>IF(AND(S76=1,M76=R76),1/T76,0)</f>
        <v/>
      </c>
      <c r="X76" s="116">
        <f>IF(AND(S76=1,N76=R76),1/T76,0)</f>
        <v/>
      </c>
      <c r="Y76" s="116">
        <f>IF(AND(S76=1,O76=R76),1/T76,0)</f>
        <v/>
      </c>
      <c r="Z76" s="116">
        <f>IF(AND(S76=1,P76=R76),1/T76,0)</f>
        <v/>
      </c>
      <c r="AA76" s="116">
        <f>IF(AND(S76=1,Q76=R76),1/T76,0)</f>
        <v/>
      </c>
    </row>
    <row r="77" ht="21" customHeight="1">
      <c r="A77" s="197" t="n">
        <v>74</v>
      </c>
      <c r="B77" s="228" t="n">
        <v>0</v>
      </c>
      <c r="C77" s="195" t="n">
        <v>25</v>
      </c>
      <c r="D77" s="195" t="n">
        <v>25</v>
      </c>
      <c r="E77" s="195" t="n">
        <v>25</v>
      </c>
      <c r="F77" s="195" t="n">
        <v>25</v>
      </c>
      <c r="G77" s="195" t="n">
        <v>25</v>
      </c>
      <c r="H77" s="196" t="n">
        <v>25</v>
      </c>
      <c r="I77" s="109">
        <f>MAX(C77:H77)</f>
        <v/>
      </c>
      <c r="K77" s="113" t="n">
        <v>0</v>
      </c>
      <c r="L77" s="115">
        <f>C77-$L$1</f>
        <v/>
      </c>
      <c r="M77" s="115">
        <f>D77-$L$1</f>
        <v/>
      </c>
      <c r="N77" s="115">
        <f>E77-$L$1</f>
        <v/>
      </c>
      <c r="O77" s="115">
        <f>F77-$L$1</f>
        <v/>
      </c>
      <c r="P77" s="115">
        <f>G77-$L$1</f>
        <v/>
      </c>
      <c r="Q77" s="115">
        <f>H77-$L$1</f>
        <v/>
      </c>
      <c r="R77" s="116">
        <f>MAX(K77:Q77)</f>
        <v/>
      </c>
      <c r="S77" s="116">
        <f>IF(MAX(L77:Q77)&gt;=0,1,0)</f>
        <v/>
      </c>
      <c r="T77" s="117">
        <f>IF(S77=1,COUNTIF(L77:Q77,R77),0)</f>
        <v/>
      </c>
      <c r="V77" s="116">
        <f>IF(AND(S77=1,L77=R77),1/T77,0)</f>
        <v/>
      </c>
      <c r="W77" s="116">
        <f>IF(AND(S77=1,M77=R77),1/T77,0)</f>
        <v/>
      </c>
      <c r="X77" s="116">
        <f>IF(AND(S77=1,N77=R77),1/T77,0)</f>
        <v/>
      </c>
      <c r="Y77" s="116">
        <f>IF(AND(S77=1,O77=R77),1/T77,0)</f>
        <v/>
      </c>
      <c r="Z77" s="116">
        <f>IF(AND(S77=1,P77=R77),1/T77,0)</f>
        <v/>
      </c>
      <c r="AA77" s="116">
        <f>IF(AND(S77=1,Q77=R77),1/T77,0)</f>
        <v/>
      </c>
    </row>
    <row r="78" ht="21" customHeight="1">
      <c r="A78" s="197" t="n">
        <v>75</v>
      </c>
      <c r="B78" s="228" t="n">
        <v>0</v>
      </c>
      <c r="C78" s="195" t="n">
        <v>75</v>
      </c>
      <c r="D78" s="195" t="n">
        <v>50</v>
      </c>
      <c r="E78" s="195" t="n">
        <v>100</v>
      </c>
      <c r="F78" s="195" t="n">
        <v>50</v>
      </c>
      <c r="G78" s="195" t="n">
        <v>100</v>
      </c>
      <c r="H78" s="196" t="n">
        <v>50</v>
      </c>
      <c r="I78" s="109">
        <f>MAX(C78:H78)</f>
        <v/>
      </c>
      <c r="K78" s="113" t="n">
        <v>0</v>
      </c>
      <c r="L78" s="115">
        <f>C78-$L$1</f>
        <v/>
      </c>
      <c r="M78" s="115">
        <f>D78-$L$1</f>
        <v/>
      </c>
      <c r="N78" s="115">
        <f>E78-$L$1</f>
        <v/>
      </c>
      <c r="O78" s="115">
        <f>F78-$L$1</f>
        <v/>
      </c>
      <c r="P78" s="115">
        <f>G78-$L$1</f>
        <v/>
      </c>
      <c r="Q78" s="115">
        <f>H78-$L$1</f>
        <v/>
      </c>
      <c r="R78" s="116">
        <f>MAX(K78:Q78)</f>
        <v/>
      </c>
      <c r="S78" s="116">
        <f>IF(MAX(L78:Q78)&gt;=0,1,0)</f>
        <v/>
      </c>
      <c r="T78" s="117">
        <f>IF(S78=1,COUNTIF(L78:Q78,R78),0)</f>
        <v/>
      </c>
      <c r="V78" s="116">
        <f>IF(AND(S78=1,L78=R78),1/T78,0)</f>
        <v/>
      </c>
      <c r="W78" s="116">
        <f>IF(AND(S78=1,M78=R78),1/T78,0)</f>
        <v/>
      </c>
      <c r="X78" s="116">
        <f>IF(AND(S78=1,N78=R78),1/T78,0)</f>
        <v/>
      </c>
      <c r="Y78" s="116">
        <f>IF(AND(S78=1,O78=R78),1/T78,0)</f>
        <v/>
      </c>
      <c r="Z78" s="116">
        <f>IF(AND(S78=1,P78=R78),1/T78,0)</f>
        <v/>
      </c>
      <c r="AA78" s="116">
        <f>IF(AND(S78=1,Q78=R78),1/T78,0)</f>
        <v/>
      </c>
    </row>
    <row r="79" ht="21" customHeight="1">
      <c r="A79" s="197" t="n">
        <v>76</v>
      </c>
      <c r="B79" s="228" t="n">
        <v>0</v>
      </c>
      <c r="C79" s="195" t="n">
        <v>100</v>
      </c>
      <c r="D79" s="195" t="n">
        <v>75</v>
      </c>
      <c r="E79" s="195" t="n">
        <v>75</v>
      </c>
      <c r="F79" s="195" t="n">
        <v>75</v>
      </c>
      <c r="G79" s="195" t="n">
        <v>125</v>
      </c>
      <c r="H79" s="196" t="n">
        <v>50</v>
      </c>
      <c r="I79" s="109">
        <f>MAX(C79:H79)</f>
        <v/>
      </c>
      <c r="K79" s="113" t="n">
        <v>0</v>
      </c>
      <c r="L79" s="115">
        <f>C79-$L$1</f>
        <v/>
      </c>
      <c r="M79" s="115">
        <f>D79-$L$1</f>
        <v/>
      </c>
      <c r="N79" s="115">
        <f>E79-$L$1</f>
        <v/>
      </c>
      <c r="O79" s="115">
        <f>F79-$L$1</f>
        <v/>
      </c>
      <c r="P79" s="115">
        <f>G79-$L$1</f>
        <v/>
      </c>
      <c r="Q79" s="115">
        <f>H79-$L$1</f>
        <v/>
      </c>
      <c r="R79" s="116">
        <f>MAX(K79:Q79)</f>
        <v/>
      </c>
      <c r="S79" s="116">
        <f>IF(MAX(L79:Q79)&gt;=0,1,0)</f>
        <v/>
      </c>
      <c r="T79" s="117">
        <f>IF(S79=1,COUNTIF(L79:Q79,R79),0)</f>
        <v/>
      </c>
      <c r="V79" s="116">
        <f>IF(AND(S79=1,L79=R79),1/T79,0)</f>
        <v/>
      </c>
      <c r="W79" s="116">
        <f>IF(AND(S79=1,M79=R79),1/T79,0)</f>
        <v/>
      </c>
      <c r="X79" s="116">
        <f>IF(AND(S79=1,N79=R79),1/T79,0)</f>
        <v/>
      </c>
      <c r="Y79" s="116">
        <f>IF(AND(S79=1,O79=R79),1/T79,0)</f>
        <v/>
      </c>
      <c r="Z79" s="116">
        <f>IF(AND(S79=1,P79=R79),1/T79,0)</f>
        <v/>
      </c>
      <c r="AA79" s="116">
        <f>IF(AND(S79=1,Q79=R79),1/T79,0)</f>
        <v/>
      </c>
    </row>
    <row r="80" ht="21" customHeight="1">
      <c r="A80" s="197" t="n">
        <v>77</v>
      </c>
      <c r="B80" s="228" t="n">
        <v>1</v>
      </c>
      <c r="C80" s="195" t="n">
        <v>50</v>
      </c>
      <c r="D80" s="195" t="n">
        <v>25</v>
      </c>
      <c r="E80" s="195" t="n">
        <v>25</v>
      </c>
      <c r="F80" s="195" t="n">
        <v>25</v>
      </c>
      <c r="G80" s="195" t="n">
        <v>50</v>
      </c>
      <c r="H80" s="196" t="n">
        <v>25</v>
      </c>
      <c r="I80" s="109">
        <f>MAX(C80:H80)</f>
        <v/>
      </c>
      <c r="K80" s="113" t="n">
        <v>0</v>
      </c>
      <c r="L80" s="115">
        <f>C80-$L$1</f>
        <v/>
      </c>
      <c r="M80" s="115">
        <f>D80-$L$1</f>
        <v/>
      </c>
      <c r="N80" s="115">
        <f>E80-$L$1</f>
        <v/>
      </c>
      <c r="O80" s="115">
        <f>F80-$L$1</f>
        <v/>
      </c>
      <c r="P80" s="115">
        <f>G80-$L$1</f>
        <v/>
      </c>
      <c r="Q80" s="115">
        <f>H80-$L$1</f>
        <v/>
      </c>
      <c r="R80" s="116">
        <f>MAX(K80:Q80)</f>
        <v/>
      </c>
      <c r="S80" s="116">
        <f>IF(MAX(L80:Q80)&gt;=0,1,0)</f>
        <v/>
      </c>
      <c r="T80" s="117">
        <f>IF(S80=1,COUNTIF(L80:Q80,R80),0)</f>
        <v/>
      </c>
      <c r="V80" s="116">
        <f>IF(AND(S80=1,L80=R80),1/T80,0)</f>
        <v/>
      </c>
      <c r="W80" s="116">
        <f>IF(AND(S80=1,M80=R80),1/T80,0)</f>
        <v/>
      </c>
      <c r="X80" s="116">
        <f>IF(AND(S80=1,N80=R80),1/T80,0)</f>
        <v/>
      </c>
      <c r="Y80" s="116">
        <f>IF(AND(S80=1,O80=R80),1/T80,0)</f>
        <v/>
      </c>
      <c r="Z80" s="116">
        <f>IF(AND(S80=1,P80=R80),1/T80,0)</f>
        <v/>
      </c>
      <c r="AA80" s="116">
        <f>IF(AND(S80=1,Q80=R80),1/T80,0)</f>
        <v/>
      </c>
    </row>
    <row r="81" ht="21" customHeight="1">
      <c r="A81" s="197" t="n">
        <v>78</v>
      </c>
      <c r="B81" s="228" t="n">
        <v>0</v>
      </c>
      <c r="C81" s="195" t="n">
        <v>25</v>
      </c>
      <c r="D81" s="195" t="n">
        <v>25</v>
      </c>
      <c r="E81" s="195" t="n">
        <v>25</v>
      </c>
      <c r="F81" s="195" t="n">
        <v>25</v>
      </c>
      <c r="G81" s="195" t="n">
        <v>50</v>
      </c>
      <c r="H81" s="196" t="n">
        <v>25</v>
      </c>
      <c r="I81" s="109">
        <f>MAX(C81:H81)</f>
        <v/>
      </c>
      <c r="K81" s="113" t="n">
        <v>0</v>
      </c>
      <c r="L81" s="115">
        <f>C81-$L$1</f>
        <v/>
      </c>
      <c r="M81" s="115">
        <f>D81-$L$1</f>
        <v/>
      </c>
      <c r="N81" s="115">
        <f>E81-$L$1</f>
        <v/>
      </c>
      <c r="O81" s="115">
        <f>F81-$L$1</f>
        <v/>
      </c>
      <c r="P81" s="115">
        <f>G81-$L$1</f>
        <v/>
      </c>
      <c r="Q81" s="115">
        <f>H81-$L$1</f>
        <v/>
      </c>
      <c r="R81" s="116">
        <f>MAX(K81:Q81)</f>
        <v/>
      </c>
      <c r="S81" s="116">
        <f>IF(MAX(L81:Q81)&gt;=0,1,0)</f>
        <v/>
      </c>
      <c r="T81" s="117">
        <f>IF(S81=1,COUNTIF(L81:Q81,R81),0)</f>
        <v/>
      </c>
      <c r="V81" s="116">
        <f>IF(AND(S81=1,L81=R81),1/T81,0)</f>
        <v/>
      </c>
      <c r="W81" s="116">
        <f>IF(AND(S81=1,M81=R81),1/T81,0)</f>
        <v/>
      </c>
      <c r="X81" s="116">
        <f>IF(AND(S81=1,N81=R81),1/T81,0)</f>
        <v/>
      </c>
      <c r="Y81" s="116">
        <f>IF(AND(S81=1,O81=R81),1/T81,0)</f>
        <v/>
      </c>
      <c r="Z81" s="116">
        <f>IF(AND(S81=1,P81=R81),1/T81,0)</f>
        <v/>
      </c>
      <c r="AA81" s="116">
        <f>IF(AND(S81=1,Q81=R81),1/T81,0)</f>
        <v/>
      </c>
    </row>
    <row r="82" ht="21" customHeight="1">
      <c r="A82" s="197" t="n">
        <v>79</v>
      </c>
      <c r="B82" s="228" t="n">
        <v>0</v>
      </c>
      <c r="C82" s="195" t="n">
        <v>125</v>
      </c>
      <c r="D82" s="195" t="n">
        <v>125</v>
      </c>
      <c r="E82" s="195" t="n">
        <v>125</v>
      </c>
      <c r="F82" s="195" t="n">
        <v>125</v>
      </c>
      <c r="G82" s="195" t="n">
        <v>125</v>
      </c>
      <c r="H82" s="196" t="n">
        <v>125</v>
      </c>
      <c r="I82" s="109">
        <f>MAX(C82:H82)</f>
        <v/>
      </c>
      <c r="K82" s="113" t="n">
        <v>0</v>
      </c>
      <c r="L82" s="115">
        <f>C82-$L$1</f>
        <v/>
      </c>
      <c r="M82" s="115">
        <f>D82-$L$1</f>
        <v/>
      </c>
      <c r="N82" s="115">
        <f>E82-$L$1</f>
        <v/>
      </c>
      <c r="O82" s="115">
        <f>F82-$L$1</f>
        <v/>
      </c>
      <c r="P82" s="115">
        <f>G82-$L$1</f>
        <v/>
      </c>
      <c r="Q82" s="115">
        <f>H82-$L$1</f>
        <v/>
      </c>
      <c r="R82" s="116">
        <f>MAX(K82:Q82)</f>
        <v/>
      </c>
      <c r="S82" s="116">
        <f>IF(MAX(L82:Q82)&gt;=0,1,0)</f>
        <v/>
      </c>
      <c r="T82" s="117">
        <f>IF(S82=1,COUNTIF(L82:Q82,R82),0)</f>
        <v/>
      </c>
      <c r="V82" s="116">
        <f>IF(AND(S82=1,L82=R82),1/T82,0)</f>
        <v/>
      </c>
      <c r="W82" s="116">
        <f>IF(AND(S82=1,M82=R82),1/T82,0)</f>
        <v/>
      </c>
      <c r="X82" s="116">
        <f>IF(AND(S82=1,N82=R82),1/T82,0)</f>
        <v/>
      </c>
      <c r="Y82" s="116">
        <f>IF(AND(S82=1,O82=R82),1/T82,0)</f>
        <v/>
      </c>
      <c r="Z82" s="116">
        <f>IF(AND(S82=1,P82=R82),1/T82,0)</f>
        <v/>
      </c>
      <c r="AA82" s="116">
        <f>IF(AND(S82=1,Q82=R82),1/T82,0)</f>
        <v/>
      </c>
    </row>
    <row r="83" ht="21" customHeight="1">
      <c r="A83" s="197" t="n">
        <v>80</v>
      </c>
      <c r="B83" s="228" t="n">
        <v>0</v>
      </c>
      <c r="C83" s="195" t="n">
        <v>75</v>
      </c>
      <c r="D83" s="195" t="n">
        <v>75</v>
      </c>
      <c r="E83" s="195" t="n">
        <v>75</v>
      </c>
      <c r="F83" s="195" t="n">
        <v>75</v>
      </c>
      <c r="G83" s="195" t="n">
        <v>75</v>
      </c>
      <c r="H83" s="196" t="n">
        <v>75</v>
      </c>
      <c r="I83" s="109">
        <f>MAX(C83:H83)</f>
        <v/>
      </c>
      <c r="K83" s="113" t="n">
        <v>0</v>
      </c>
      <c r="L83" s="115">
        <f>C83-$L$1</f>
        <v/>
      </c>
      <c r="M83" s="115">
        <f>D83-$L$1</f>
        <v/>
      </c>
      <c r="N83" s="115">
        <f>E83-$L$1</f>
        <v/>
      </c>
      <c r="O83" s="115">
        <f>F83-$L$1</f>
        <v/>
      </c>
      <c r="P83" s="115">
        <f>G83-$L$1</f>
        <v/>
      </c>
      <c r="Q83" s="115">
        <f>H83-$L$1</f>
        <v/>
      </c>
      <c r="R83" s="116">
        <f>MAX(K83:Q83)</f>
        <v/>
      </c>
      <c r="S83" s="116">
        <f>IF(MAX(L83:Q83)&gt;=0,1,0)</f>
        <v/>
      </c>
      <c r="T83" s="117">
        <f>IF(S83=1,COUNTIF(L83:Q83,R83),0)</f>
        <v/>
      </c>
      <c r="V83" s="116">
        <f>IF(AND(S83=1,L83=R83),1/T83,0)</f>
        <v/>
      </c>
      <c r="W83" s="116">
        <f>IF(AND(S83=1,M83=R83),1/T83,0)</f>
        <v/>
      </c>
      <c r="X83" s="116">
        <f>IF(AND(S83=1,N83=R83),1/T83,0)</f>
        <v/>
      </c>
      <c r="Y83" s="116">
        <f>IF(AND(S83=1,O83=R83),1/T83,0)</f>
        <v/>
      </c>
      <c r="Z83" s="116">
        <f>IF(AND(S83=1,P83=R83),1/T83,0)</f>
        <v/>
      </c>
      <c r="AA83" s="116">
        <f>IF(AND(S83=1,Q83=R83),1/T83,0)</f>
        <v/>
      </c>
    </row>
    <row r="84" ht="21" customHeight="1">
      <c r="A84" s="197" t="n">
        <v>81</v>
      </c>
      <c r="B84" s="228" t="n">
        <v>0</v>
      </c>
      <c r="C84" s="195" t="n">
        <v>100</v>
      </c>
      <c r="D84" s="195" t="n">
        <v>100</v>
      </c>
      <c r="E84" s="195" t="n">
        <v>100</v>
      </c>
      <c r="F84" s="195" t="n">
        <v>100</v>
      </c>
      <c r="G84" s="195" t="n">
        <v>125</v>
      </c>
      <c r="H84" s="196" t="n">
        <v>100</v>
      </c>
      <c r="I84" s="109">
        <f>MAX(C84:H84)</f>
        <v/>
      </c>
      <c r="K84" s="113" t="n">
        <v>0</v>
      </c>
      <c r="L84" s="115">
        <f>C84-$L$1</f>
        <v/>
      </c>
      <c r="M84" s="115">
        <f>D84-$L$1</f>
        <v/>
      </c>
      <c r="N84" s="115">
        <f>E84-$L$1</f>
        <v/>
      </c>
      <c r="O84" s="115">
        <f>F84-$L$1</f>
        <v/>
      </c>
      <c r="P84" s="115">
        <f>G84-$L$1</f>
        <v/>
      </c>
      <c r="Q84" s="115">
        <f>H84-$L$1</f>
        <v/>
      </c>
      <c r="R84" s="116">
        <f>MAX(K84:Q84)</f>
        <v/>
      </c>
      <c r="S84" s="116">
        <f>IF(MAX(L84:Q84)&gt;=0,1,0)</f>
        <v/>
      </c>
      <c r="T84" s="117">
        <f>IF(S84=1,COUNTIF(L84:Q84,R84),0)</f>
        <v/>
      </c>
      <c r="V84" s="116">
        <f>IF(AND(S84=1,L84=R84),1/T84,0)</f>
        <v/>
      </c>
      <c r="W84" s="116">
        <f>IF(AND(S84=1,M84=R84),1/T84,0)</f>
        <v/>
      </c>
      <c r="X84" s="116">
        <f>IF(AND(S84=1,N84=R84),1/T84,0)</f>
        <v/>
      </c>
      <c r="Y84" s="116">
        <f>IF(AND(S84=1,O84=R84),1/T84,0)</f>
        <v/>
      </c>
      <c r="Z84" s="116">
        <f>IF(AND(S84=1,P84=R84),1/T84,0)</f>
        <v/>
      </c>
      <c r="AA84" s="116">
        <f>IF(AND(S84=1,Q84=R84),1/T84,0)</f>
        <v/>
      </c>
    </row>
    <row r="85" ht="21" customHeight="1">
      <c r="A85" s="197" t="n">
        <v>82</v>
      </c>
      <c r="B85" s="228" t="n">
        <v>0</v>
      </c>
      <c r="C85" s="195" t="n">
        <v>75</v>
      </c>
      <c r="D85" s="195" t="n">
        <v>50</v>
      </c>
      <c r="E85" s="195" t="n">
        <v>75</v>
      </c>
      <c r="F85" s="195" t="n">
        <v>50</v>
      </c>
      <c r="G85" s="195" t="n">
        <v>75</v>
      </c>
      <c r="H85" s="196" t="n">
        <v>75</v>
      </c>
      <c r="I85" s="109">
        <f>MAX(C85:H85)</f>
        <v/>
      </c>
      <c r="K85" s="113" t="n">
        <v>0</v>
      </c>
      <c r="L85" s="115">
        <f>C85-$L$1</f>
        <v/>
      </c>
      <c r="M85" s="115">
        <f>D85-$L$1</f>
        <v/>
      </c>
      <c r="N85" s="115">
        <f>E85-$L$1</f>
        <v/>
      </c>
      <c r="O85" s="115">
        <f>F85-$L$1</f>
        <v/>
      </c>
      <c r="P85" s="115">
        <f>G85-$L$1</f>
        <v/>
      </c>
      <c r="Q85" s="115">
        <f>H85-$L$1</f>
        <v/>
      </c>
      <c r="R85" s="116">
        <f>MAX(K85:Q85)</f>
        <v/>
      </c>
      <c r="S85" s="116">
        <f>IF(MAX(L85:Q85)&gt;=0,1,0)</f>
        <v/>
      </c>
      <c r="T85" s="117">
        <f>IF(S85=1,COUNTIF(L85:Q85,R85),0)</f>
        <v/>
      </c>
      <c r="V85" s="116">
        <f>IF(AND(S85=1,L85=R85),1/T85,0)</f>
        <v/>
      </c>
      <c r="W85" s="116">
        <f>IF(AND(S85=1,M85=R85),1/T85,0)</f>
        <v/>
      </c>
      <c r="X85" s="116">
        <f>IF(AND(S85=1,N85=R85),1/T85,0)</f>
        <v/>
      </c>
      <c r="Y85" s="116">
        <f>IF(AND(S85=1,O85=R85),1/T85,0)</f>
        <v/>
      </c>
      <c r="Z85" s="116">
        <f>IF(AND(S85=1,P85=R85),1/T85,0)</f>
        <v/>
      </c>
      <c r="AA85" s="116">
        <f>IF(AND(S85=1,Q85=R85),1/T85,0)</f>
        <v/>
      </c>
    </row>
    <row r="86" ht="21" customHeight="1">
      <c r="A86" s="197" t="n">
        <v>83</v>
      </c>
      <c r="B86" s="228" t="n">
        <v>1</v>
      </c>
      <c r="C86" s="195" t="n">
        <v>25</v>
      </c>
      <c r="D86" s="195" t="n">
        <v>25</v>
      </c>
      <c r="E86" s="195" t="n">
        <v>25</v>
      </c>
      <c r="F86" s="195" t="n">
        <v>25</v>
      </c>
      <c r="G86" s="195" t="n">
        <v>25</v>
      </c>
      <c r="H86" s="196" t="n">
        <v>25</v>
      </c>
      <c r="I86" s="109">
        <f>MAX(C86:H86)</f>
        <v/>
      </c>
      <c r="K86" s="113" t="n">
        <v>0</v>
      </c>
      <c r="L86" s="115">
        <f>C86-$L$1</f>
        <v/>
      </c>
      <c r="M86" s="115">
        <f>D86-$L$1</f>
        <v/>
      </c>
      <c r="N86" s="115">
        <f>E86-$L$1</f>
        <v/>
      </c>
      <c r="O86" s="115">
        <f>F86-$L$1</f>
        <v/>
      </c>
      <c r="P86" s="115">
        <f>G86-$L$1</f>
        <v/>
      </c>
      <c r="Q86" s="115">
        <f>H86-$L$1</f>
        <v/>
      </c>
      <c r="R86" s="116">
        <f>MAX(K86:Q86)</f>
        <v/>
      </c>
      <c r="S86" s="116">
        <f>IF(MAX(L86:Q86)&gt;=0,1,0)</f>
        <v/>
      </c>
      <c r="T86" s="117">
        <f>IF(S86=1,COUNTIF(L86:Q86,R86),0)</f>
        <v/>
      </c>
      <c r="V86" s="116">
        <f>IF(AND(S86=1,L86=R86),1/T86,0)</f>
        <v/>
      </c>
      <c r="W86" s="116">
        <f>IF(AND(S86=1,M86=R86),1/T86,0)</f>
        <v/>
      </c>
      <c r="X86" s="116">
        <f>IF(AND(S86=1,N86=R86),1/T86,0)</f>
        <v/>
      </c>
      <c r="Y86" s="116">
        <f>IF(AND(S86=1,O86=R86),1/T86,0)</f>
        <v/>
      </c>
      <c r="Z86" s="116">
        <f>IF(AND(S86=1,P86=R86),1/T86,0)</f>
        <v/>
      </c>
      <c r="AA86" s="116">
        <f>IF(AND(S86=1,Q86=R86),1/T86,0)</f>
        <v/>
      </c>
    </row>
    <row r="87" ht="21" customHeight="1">
      <c r="A87" s="197" t="n">
        <v>84</v>
      </c>
      <c r="B87" s="228" t="n">
        <v>0</v>
      </c>
      <c r="C87" s="195" t="n">
        <v>25</v>
      </c>
      <c r="D87" s="195" t="n">
        <v>25</v>
      </c>
      <c r="E87" s="195" t="n">
        <v>25</v>
      </c>
      <c r="F87" s="195" t="n">
        <v>25</v>
      </c>
      <c r="G87" s="195" t="n">
        <v>25</v>
      </c>
      <c r="H87" s="196" t="n">
        <v>25</v>
      </c>
      <c r="I87" s="109">
        <f>MAX(C87:H87)</f>
        <v/>
      </c>
      <c r="K87" s="113" t="n">
        <v>0</v>
      </c>
      <c r="L87" s="115">
        <f>C87-$L$1</f>
        <v/>
      </c>
      <c r="M87" s="115">
        <f>D87-$L$1</f>
        <v/>
      </c>
      <c r="N87" s="115">
        <f>E87-$L$1</f>
        <v/>
      </c>
      <c r="O87" s="115">
        <f>F87-$L$1</f>
        <v/>
      </c>
      <c r="P87" s="115">
        <f>G87-$L$1</f>
        <v/>
      </c>
      <c r="Q87" s="115">
        <f>H87-$L$1</f>
        <v/>
      </c>
      <c r="R87" s="116">
        <f>MAX(K87:Q87)</f>
        <v/>
      </c>
      <c r="S87" s="116">
        <f>IF(MAX(L87:Q87)&gt;=0,1,0)</f>
        <v/>
      </c>
      <c r="T87" s="117">
        <f>IF(S87=1,COUNTIF(L87:Q87,R87),0)</f>
        <v/>
      </c>
      <c r="V87" s="116">
        <f>IF(AND(S87=1,L87=R87),1/T87,0)</f>
        <v/>
      </c>
      <c r="W87" s="116">
        <f>IF(AND(S87=1,M87=R87),1/T87,0)</f>
        <v/>
      </c>
      <c r="X87" s="116">
        <f>IF(AND(S87=1,N87=R87),1/T87,0)</f>
        <v/>
      </c>
      <c r="Y87" s="116">
        <f>IF(AND(S87=1,O87=R87),1/T87,0)</f>
        <v/>
      </c>
      <c r="Z87" s="116">
        <f>IF(AND(S87=1,P87=R87),1/T87,0)</f>
        <v/>
      </c>
      <c r="AA87" s="116">
        <f>IF(AND(S87=1,Q87=R87),1/T87,0)</f>
        <v/>
      </c>
    </row>
    <row r="88" ht="21" customHeight="1">
      <c r="A88" s="197" t="n">
        <v>85</v>
      </c>
      <c r="B88" s="228" t="n">
        <v>0</v>
      </c>
      <c r="C88" s="195" t="n">
        <v>75</v>
      </c>
      <c r="D88" s="195" t="n">
        <v>50</v>
      </c>
      <c r="E88" s="195" t="n">
        <v>50</v>
      </c>
      <c r="F88" s="195" t="n">
        <v>50</v>
      </c>
      <c r="G88" s="195" t="n">
        <v>75</v>
      </c>
      <c r="H88" s="196" t="n">
        <v>25</v>
      </c>
      <c r="I88" s="109">
        <f>MAX(C88:H88)</f>
        <v/>
      </c>
      <c r="K88" s="113" t="n">
        <v>0</v>
      </c>
      <c r="L88" s="115">
        <f>C88-$L$1</f>
        <v/>
      </c>
      <c r="M88" s="115">
        <f>D88-$L$1</f>
        <v/>
      </c>
      <c r="N88" s="115">
        <f>E88-$L$1</f>
        <v/>
      </c>
      <c r="O88" s="115">
        <f>F88-$L$1</f>
        <v/>
      </c>
      <c r="P88" s="115">
        <f>G88-$L$1</f>
        <v/>
      </c>
      <c r="Q88" s="115">
        <f>H88-$L$1</f>
        <v/>
      </c>
      <c r="R88" s="116">
        <f>MAX(K88:Q88)</f>
        <v/>
      </c>
      <c r="S88" s="116">
        <f>IF(MAX(L88:Q88)&gt;=0,1,0)</f>
        <v/>
      </c>
      <c r="T88" s="117">
        <f>IF(S88=1,COUNTIF(L88:Q88,R88),0)</f>
        <v/>
      </c>
      <c r="V88" s="116">
        <f>IF(AND(S88=1,L88=R88),1/T88,0)</f>
        <v/>
      </c>
      <c r="W88" s="116">
        <f>IF(AND(S88=1,M88=R88),1/T88,0)</f>
        <v/>
      </c>
      <c r="X88" s="116">
        <f>IF(AND(S88=1,N88=R88),1/T88,0)</f>
        <v/>
      </c>
      <c r="Y88" s="116">
        <f>IF(AND(S88=1,O88=R88),1/T88,0)</f>
        <v/>
      </c>
      <c r="Z88" s="116">
        <f>IF(AND(S88=1,P88=R88),1/T88,0)</f>
        <v/>
      </c>
      <c r="AA88" s="116">
        <f>IF(AND(S88=1,Q88=R88),1/T88,0)</f>
        <v/>
      </c>
    </row>
    <row r="89" ht="21" customHeight="1">
      <c r="A89" s="197" t="n">
        <v>86</v>
      </c>
      <c r="B89" s="228" t="n">
        <v>0</v>
      </c>
      <c r="C89" s="195" t="n">
        <v>25</v>
      </c>
      <c r="D89" s="195" t="n">
        <v>25</v>
      </c>
      <c r="E89" s="195" t="n">
        <v>25</v>
      </c>
      <c r="F89" s="195" t="n">
        <v>25</v>
      </c>
      <c r="G89" s="195" t="n">
        <v>75</v>
      </c>
      <c r="H89" s="196" t="n">
        <v>25</v>
      </c>
      <c r="I89" s="109">
        <f>MAX(C89:H89)</f>
        <v/>
      </c>
      <c r="K89" s="113" t="n">
        <v>0</v>
      </c>
      <c r="L89" s="115">
        <f>C89-$L$1</f>
        <v/>
      </c>
      <c r="M89" s="115">
        <f>D89-$L$1</f>
        <v/>
      </c>
      <c r="N89" s="115">
        <f>E89-$L$1</f>
        <v/>
      </c>
      <c r="O89" s="115">
        <f>F89-$L$1</f>
        <v/>
      </c>
      <c r="P89" s="115">
        <f>G89-$L$1</f>
        <v/>
      </c>
      <c r="Q89" s="115">
        <f>H89-$L$1</f>
        <v/>
      </c>
      <c r="R89" s="116">
        <f>MAX(K89:Q89)</f>
        <v/>
      </c>
      <c r="S89" s="116">
        <f>IF(MAX(L89:Q89)&gt;=0,1,0)</f>
        <v/>
      </c>
      <c r="T89" s="117">
        <f>IF(S89=1,COUNTIF(L89:Q89,R89),0)</f>
        <v/>
      </c>
      <c r="V89" s="116">
        <f>IF(AND(S89=1,L89=R89),1/T89,0)</f>
        <v/>
      </c>
      <c r="W89" s="116">
        <f>IF(AND(S89=1,M89=R89),1/T89,0)</f>
        <v/>
      </c>
      <c r="X89" s="116">
        <f>IF(AND(S89=1,N89=R89),1/T89,0)</f>
        <v/>
      </c>
      <c r="Y89" s="116">
        <f>IF(AND(S89=1,O89=R89),1/T89,0)</f>
        <v/>
      </c>
      <c r="Z89" s="116">
        <f>IF(AND(S89=1,P89=R89),1/T89,0)</f>
        <v/>
      </c>
      <c r="AA89" s="116">
        <f>IF(AND(S89=1,Q89=R89),1/T89,0)</f>
        <v/>
      </c>
    </row>
    <row r="90" ht="21" customHeight="1">
      <c r="A90" s="197" t="n">
        <v>87</v>
      </c>
      <c r="B90" s="228" t="n">
        <v>0</v>
      </c>
      <c r="C90" s="195" t="n">
        <v>75</v>
      </c>
      <c r="D90" s="195" t="n">
        <v>50</v>
      </c>
      <c r="E90" s="195" t="n">
        <v>50</v>
      </c>
      <c r="F90" s="195" t="n">
        <v>50</v>
      </c>
      <c r="G90" s="195" t="n">
        <v>75</v>
      </c>
      <c r="H90" s="196" t="n">
        <v>50</v>
      </c>
      <c r="I90" s="109">
        <f>MAX(C90:H90)</f>
        <v/>
      </c>
      <c r="K90" s="113" t="n">
        <v>0</v>
      </c>
      <c r="L90" s="115">
        <f>C90-$L$1</f>
        <v/>
      </c>
      <c r="M90" s="115">
        <f>D90-$L$1</f>
        <v/>
      </c>
      <c r="N90" s="115">
        <f>E90-$L$1</f>
        <v/>
      </c>
      <c r="O90" s="115">
        <f>F90-$L$1</f>
        <v/>
      </c>
      <c r="P90" s="115">
        <f>G90-$L$1</f>
        <v/>
      </c>
      <c r="Q90" s="115">
        <f>H90-$L$1</f>
        <v/>
      </c>
      <c r="R90" s="116">
        <f>MAX(K90:Q90)</f>
        <v/>
      </c>
      <c r="S90" s="116">
        <f>IF(MAX(L90:Q90)&gt;=0,1,0)</f>
        <v/>
      </c>
      <c r="T90" s="117">
        <f>IF(S90=1,COUNTIF(L90:Q90,R90),0)</f>
        <v/>
      </c>
      <c r="V90" s="116">
        <f>IF(AND(S90=1,L90=R90),1/T90,0)</f>
        <v/>
      </c>
      <c r="W90" s="116">
        <f>IF(AND(S90=1,M90=R90),1/T90,0)</f>
        <v/>
      </c>
      <c r="X90" s="116">
        <f>IF(AND(S90=1,N90=R90),1/T90,0)</f>
        <v/>
      </c>
      <c r="Y90" s="116">
        <f>IF(AND(S90=1,O90=R90),1/T90,0)</f>
        <v/>
      </c>
      <c r="Z90" s="116">
        <f>IF(AND(S90=1,P90=R90),1/T90,0)</f>
        <v/>
      </c>
      <c r="AA90" s="116">
        <f>IF(AND(S90=1,Q90=R90),1/T90,0)</f>
        <v/>
      </c>
    </row>
    <row r="91" ht="21" customHeight="1">
      <c r="A91" s="197" t="n">
        <v>88</v>
      </c>
      <c r="B91" s="228" t="n">
        <v>0</v>
      </c>
      <c r="C91" s="195" t="n">
        <v>75</v>
      </c>
      <c r="D91" s="195" t="n">
        <v>75</v>
      </c>
      <c r="E91" s="195" t="n">
        <v>100</v>
      </c>
      <c r="F91" s="195" t="n">
        <v>75</v>
      </c>
      <c r="G91" s="195" t="n">
        <v>75</v>
      </c>
      <c r="H91" s="196" t="n">
        <v>25</v>
      </c>
      <c r="I91" s="109">
        <f>MAX(C91:H91)</f>
        <v/>
      </c>
      <c r="K91" s="113" t="n">
        <v>0</v>
      </c>
      <c r="L91" s="115">
        <f>C91-$L$1</f>
        <v/>
      </c>
      <c r="M91" s="115">
        <f>D91-$L$1</f>
        <v/>
      </c>
      <c r="N91" s="115">
        <f>E91-$L$1</f>
        <v/>
      </c>
      <c r="O91" s="115">
        <f>F91-$L$1</f>
        <v/>
      </c>
      <c r="P91" s="115">
        <f>G91-$L$1</f>
        <v/>
      </c>
      <c r="Q91" s="115">
        <f>H91-$L$1</f>
        <v/>
      </c>
      <c r="R91" s="116">
        <f>MAX(K91:Q91)</f>
        <v/>
      </c>
      <c r="S91" s="116">
        <f>IF(MAX(L91:Q91)&gt;=0,1,0)</f>
        <v/>
      </c>
      <c r="T91" s="117">
        <f>IF(S91=1,COUNTIF(L91:Q91,R91),0)</f>
        <v/>
      </c>
      <c r="V91" s="116">
        <f>IF(AND(S91=1,L91=R91),1/T91,0)</f>
        <v/>
      </c>
      <c r="W91" s="116">
        <f>IF(AND(S91=1,M91=R91),1/T91,0)</f>
        <v/>
      </c>
      <c r="X91" s="116">
        <f>IF(AND(S91=1,N91=R91),1/T91,0)</f>
        <v/>
      </c>
      <c r="Y91" s="116">
        <f>IF(AND(S91=1,O91=R91),1/T91,0)</f>
        <v/>
      </c>
      <c r="Z91" s="116">
        <f>IF(AND(S91=1,P91=R91),1/T91,0)</f>
        <v/>
      </c>
      <c r="AA91" s="116">
        <f>IF(AND(S91=1,Q91=R91),1/T91,0)</f>
        <v/>
      </c>
    </row>
    <row r="92" ht="21" customHeight="1">
      <c r="A92" s="197" t="n">
        <v>89</v>
      </c>
      <c r="B92" s="228" t="n">
        <v>0</v>
      </c>
      <c r="C92" s="195" t="n">
        <v>25</v>
      </c>
      <c r="D92" s="195" t="n">
        <v>25</v>
      </c>
      <c r="E92" s="195" t="n">
        <v>25</v>
      </c>
      <c r="F92" s="195" t="n">
        <v>25</v>
      </c>
      <c r="G92" s="195" t="n">
        <v>25</v>
      </c>
      <c r="H92" s="196" t="n">
        <v>25</v>
      </c>
      <c r="I92" s="109">
        <f>MAX(C92:H92)</f>
        <v/>
      </c>
      <c r="K92" s="113" t="n">
        <v>0</v>
      </c>
      <c r="L92" s="115">
        <f>C92-$L$1</f>
        <v/>
      </c>
      <c r="M92" s="115">
        <f>D92-$L$1</f>
        <v/>
      </c>
      <c r="N92" s="115">
        <f>E92-$L$1</f>
        <v/>
      </c>
      <c r="O92" s="115">
        <f>F92-$L$1</f>
        <v/>
      </c>
      <c r="P92" s="115">
        <f>G92-$L$1</f>
        <v/>
      </c>
      <c r="Q92" s="115">
        <f>H92-$L$1</f>
        <v/>
      </c>
      <c r="R92" s="116">
        <f>MAX(K92:Q92)</f>
        <v/>
      </c>
      <c r="S92" s="116">
        <f>IF(MAX(L92:Q92)&gt;=0,1,0)</f>
        <v/>
      </c>
      <c r="T92" s="117">
        <f>IF(S92=1,COUNTIF(L92:Q92,R92),0)</f>
        <v/>
      </c>
      <c r="V92" s="116">
        <f>IF(AND(S92=1,L92=R92),1/T92,0)</f>
        <v/>
      </c>
      <c r="W92" s="116">
        <f>IF(AND(S92=1,M92=R92),1/T92,0)</f>
        <v/>
      </c>
      <c r="X92" s="116">
        <f>IF(AND(S92=1,N92=R92),1/T92,0)</f>
        <v/>
      </c>
      <c r="Y92" s="116">
        <f>IF(AND(S92=1,O92=R92),1/T92,0)</f>
        <v/>
      </c>
      <c r="Z92" s="116">
        <f>IF(AND(S92=1,P92=R92),1/T92,0)</f>
        <v/>
      </c>
      <c r="AA92" s="116">
        <f>IF(AND(S92=1,Q92=R92),1/T92,0)</f>
        <v/>
      </c>
    </row>
    <row r="93" ht="21" customHeight="1">
      <c r="A93" s="197" t="n">
        <v>90</v>
      </c>
      <c r="B93" s="228" t="n">
        <v>1</v>
      </c>
      <c r="C93" s="195" t="n">
        <v>75</v>
      </c>
      <c r="D93" s="195" t="n">
        <v>75</v>
      </c>
      <c r="E93" s="195" t="n">
        <v>75</v>
      </c>
      <c r="F93" s="195" t="n">
        <v>75</v>
      </c>
      <c r="G93" s="195" t="n">
        <v>75</v>
      </c>
      <c r="H93" s="196" t="n">
        <v>75</v>
      </c>
      <c r="I93" s="109">
        <f>MAX(C93:H93)</f>
        <v/>
      </c>
      <c r="K93" s="113" t="n">
        <v>0</v>
      </c>
      <c r="L93" s="115">
        <f>C93-$L$1</f>
        <v/>
      </c>
      <c r="M93" s="115">
        <f>D93-$L$1</f>
        <v/>
      </c>
      <c r="N93" s="115">
        <f>E93-$L$1</f>
        <v/>
      </c>
      <c r="O93" s="115">
        <f>F93-$L$1</f>
        <v/>
      </c>
      <c r="P93" s="115">
        <f>G93-$L$1</f>
        <v/>
      </c>
      <c r="Q93" s="115">
        <f>H93-$L$1</f>
        <v/>
      </c>
      <c r="R93" s="116">
        <f>MAX(K93:Q93)</f>
        <v/>
      </c>
      <c r="S93" s="116">
        <f>IF(MAX(L93:Q93)&gt;=0,1,0)</f>
        <v/>
      </c>
      <c r="T93" s="117">
        <f>IF(S93=1,COUNTIF(L93:Q93,R93),0)</f>
        <v/>
      </c>
      <c r="V93" s="116">
        <f>IF(AND(S93=1,L93=R93),1/T93,0)</f>
        <v/>
      </c>
      <c r="W93" s="116">
        <f>IF(AND(S93=1,M93=R93),1/T93,0)</f>
        <v/>
      </c>
      <c r="X93" s="116">
        <f>IF(AND(S93=1,N93=R93),1/T93,0)</f>
        <v/>
      </c>
      <c r="Y93" s="116">
        <f>IF(AND(S93=1,O93=R93),1/T93,0)</f>
        <v/>
      </c>
      <c r="Z93" s="116">
        <f>IF(AND(S93=1,P93=R93),1/T93,0)</f>
        <v/>
      </c>
      <c r="AA93" s="116">
        <f>IF(AND(S93=1,Q93=R93),1/T93,0)</f>
        <v/>
      </c>
    </row>
    <row r="94" ht="21" customHeight="1">
      <c r="A94" s="197" t="n">
        <v>91</v>
      </c>
      <c r="B94" s="228" t="n">
        <v>1</v>
      </c>
      <c r="C94" s="195" t="n">
        <v>50</v>
      </c>
      <c r="D94" s="195" t="n">
        <v>50</v>
      </c>
      <c r="E94" s="195" t="n">
        <v>50</v>
      </c>
      <c r="F94" s="195" t="n">
        <v>50</v>
      </c>
      <c r="G94" s="195" t="n">
        <v>50</v>
      </c>
      <c r="H94" s="196" t="n">
        <v>50</v>
      </c>
      <c r="I94" s="109">
        <f>MAX(C94:H94)</f>
        <v/>
      </c>
      <c r="K94" s="113" t="n">
        <v>0</v>
      </c>
      <c r="L94" s="115">
        <f>C94-$L$1</f>
        <v/>
      </c>
      <c r="M94" s="115">
        <f>D94-$L$1</f>
        <v/>
      </c>
      <c r="N94" s="115">
        <f>E94-$L$1</f>
        <v/>
      </c>
      <c r="O94" s="115">
        <f>F94-$L$1</f>
        <v/>
      </c>
      <c r="P94" s="115">
        <f>G94-$L$1</f>
        <v/>
      </c>
      <c r="Q94" s="115">
        <f>H94-$L$1</f>
        <v/>
      </c>
      <c r="R94" s="116">
        <f>MAX(K94:Q94)</f>
        <v/>
      </c>
      <c r="S94" s="116">
        <f>IF(MAX(L94:Q94)&gt;=0,1,0)</f>
        <v/>
      </c>
      <c r="T94" s="117">
        <f>IF(S94=1,COUNTIF(L94:Q94,R94),0)</f>
        <v/>
      </c>
      <c r="V94" s="116">
        <f>IF(AND(S94=1,L94=R94),1/T94,0)</f>
        <v/>
      </c>
      <c r="W94" s="116">
        <f>IF(AND(S94=1,M94=R94),1/T94,0)</f>
        <v/>
      </c>
      <c r="X94" s="116">
        <f>IF(AND(S94=1,N94=R94),1/T94,0)</f>
        <v/>
      </c>
      <c r="Y94" s="116">
        <f>IF(AND(S94=1,O94=R94),1/T94,0)</f>
        <v/>
      </c>
      <c r="Z94" s="116">
        <f>IF(AND(S94=1,P94=R94),1/T94,0)</f>
        <v/>
      </c>
      <c r="AA94" s="116">
        <f>IF(AND(S94=1,Q94=R94),1/T94,0)</f>
        <v/>
      </c>
    </row>
    <row r="95" ht="21" customHeight="1">
      <c r="A95" s="197" t="n">
        <v>92</v>
      </c>
      <c r="B95" s="228" t="n">
        <v>0</v>
      </c>
      <c r="C95" s="195" t="n">
        <v>100</v>
      </c>
      <c r="D95" s="195" t="n">
        <v>100</v>
      </c>
      <c r="E95" s="195" t="n">
        <v>100</v>
      </c>
      <c r="F95" s="195" t="n">
        <v>100</v>
      </c>
      <c r="G95" s="195" t="n">
        <v>100</v>
      </c>
      <c r="H95" s="196" t="n">
        <v>100</v>
      </c>
      <c r="I95" s="109">
        <f>MAX(C95:H95)</f>
        <v/>
      </c>
      <c r="K95" s="113" t="n">
        <v>0</v>
      </c>
      <c r="L95" s="115">
        <f>C95-$L$1</f>
        <v/>
      </c>
      <c r="M95" s="115">
        <f>D95-$L$1</f>
        <v/>
      </c>
      <c r="N95" s="115">
        <f>E95-$L$1</f>
        <v/>
      </c>
      <c r="O95" s="115">
        <f>F95-$L$1</f>
        <v/>
      </c>
      <c r="P95" s="115">
        <f>G95-$L$1</f>
        <v/>
      </c>
      <c r="Q95" s="115">
        <f>H95-$L$1</f>
        <v/>
      </c>
      <c r="R95" s="116">
        <f>MAX(K95:Q95)</f>
        <v/>
      </c>
      <c r="S95" s="116">
        <f>IF(MAX(L95:Q95)&gt;=0,1,0)</f>
        <v/>
      </c>
      <c r="T95" s="117">
        <f>IF(S95=1,COUNTIF(L95:Q95,R95),0)</f>
        <v/>
      </c>
      <c r="V95" s="116">
        <f>IF(AND(S95=1,L95=R95),1/T95,0)</f>
        <v/>
      </c>
      <c r="W95" s="116">
        <f>IF(AND(S95=1,M95=R95),1/T95,0)</f>
        <v/>
      </c>
      <c r="X95" s="116">
        <f>IF(AND(S95=1,N95=R95),1/T95,0)</f>
        <v/>
      </c>
      <c r="Y95" s="116">
        <f>IF(AND(S95=1,O95=R95),1/T95,0)</f>
        <v/>
      </c>
      <c r="Z95" s="116">
        <f>IF(AND(S95=1,P95=R95),1/T95,0)</f>
        <v/>
      </c>
      <c r="AA95" s="116">
        <f>IF(AND(S95=1,Q95=R95),1/T95,0)</f>
        <v/>
      </c>
    </row>
    <row r="96" ht="21" customHeight="1">
      <c r="A96" s="197" t="n">
        <v>93</v>
      </c>
      <c r="B96" s="228" t="n">
        <v>0</v>
      </c>
      <c r="C96" s="195" t="n">
        <v>100</v>
      </c>
      <c r="D96" s="195" t="n">
        <v>100</v>
      </c>
      <c r="E96" s="195" t="n">
        <v>100</v>
      </c>
      <c r="F96" s="195" t="n">
        <v>100</v>
      </c>
      <c r="G96" s="195" t="n">
        <v>100</v>
      </c>
      <c r="H96" s="196" t="n">
        <v>100</v>
      </c>
      <c r="I96" s="109">
        <f>MAX(C96:H96)</f>
        <v/>
      </c>
      <c r="K96" s="113" t="n">
        <v>0</v>
      </c>
      <c r="L96" s="115">
        <f>C96-$L$1</f>
        <v/>
      </c>
      <c r="M96" s="115">
        <f>D96-$L$1</f>
        <v/>
      </c>
      <c r="N96" s="115">
        <f>E96-$L$1</f>
        <v/>
      </c>
      <c r="O96" s="115">
        <f>F96-$L$1</f>
        <v/>
      </c>
      <c r="P96" s="115">
        <f>G96-$L$1</f>
        <v/>
      </c>
      <c r="Q96" s="115">
        <f>H96-$L$1</f>
        <v/>
      </c>
      <c r="R96" s="116">
        <f>MAX(K96:Q96)</f>
        <v/>
      </c>
      <c r="S96" s="116">
        <f>IF(MAX(L96:Q96)&gt;=0,1,0)</f>
        <v/>
      </c>
      <c r="T96" s="117">
        <f>IF(S96=1,COUNTIF(L96:Q96,R96),0)</f>
        <v/>
      </c>
      <c r="V96" s="116">
        <f>IF(AND(S96=1,L96=R96),1/T96,0)</f>
        <v/>
      </c>
      <c r="W96" s="116">
        <f>IF(AND(S96=1,M96=R96),1/T96,0)</f>
        <v/>
      </c>
      <c r="X96" s="116">
        <f>IF(AND(S96=1,N96=R96),1/T96,0)</f>
        <v/>
      </c>
      <c r="Y96" s="116">
        <f>IF(AND(S96=1,O96=R96),1/T96,0)</f>
        <v/>
      </c>
      <c r="Z96" s="116">
        <f>IF(AND(S96=1,P96=R96),1/T96,0)</f>
        <v/>
      </c>
      <c r="AA96" s="116">
        <f>IF(AND(S96=1,Q96=R96),1/T96,0)</f>
        <v/>
      </c>
    </row>
    <row r="97" ht="21" customHeight="1">
      <c r="A97" s="197" t="n">
        <v>94</v>
      </c>
      <c r="B97" s="228" t="n">
        <v>0</v>
      </c>
      <c r="C97" s="195" t="n">
        <v>100</v>
      </c>
      <c r="D97" s="195" t="n">
        <v>50</v>
      </c>
      <c r="E97" s="195" t="n">
        <v>25</v>
      </c>
      <c r="F97" s="195" t="n">
        <v>25</v>
      </c>
      <c r="G97" s="195" t="n">
        <v>25</v>
      </c>
      <c r="H97" s="196" t="n">
        <v>25</v>
      </c>
      <c r="I97" s="109">
        <f>MAX(C97:H97)</f>
        <v/>
      </c>
      <c r="K97" s="113" t="n">
        <v>0</v>
      </c>
      <c r="L97" s="115">
        <f>C97-$L$1</f>
        <v/>
      </c>
      <c r="M97" s="115">
        <f>D97-$L$1</f>
        <v/>
      </c>
      <c r="N97" s="115">
        <f>E97-$L$1</f>
        <v/>
      </c>
      <c r="O97" s="115">
        <f>F97-$L$1</f>
        <v/>
      </c>
      <c r="P97" s="115">
        <f>G97-$L$1</f>
        <v/>
      </c>
      <c r="Q97" s="115">
        <f>H97-$L$1</f>
        <v/>
      </c>
      <c r="R97" s="116">
        <f>MAX(K97:Q97)</f>
        <v/>
      </c>
      <c r="S97" s="116">
        <f>IF(MAX(L97:Q97)&gt;=0,1,0)</f>
        <v/>
      </c>
      <c r="T97" s="117">
        <f>IF(S97=1,COUNTIF(L97:Q97,R97),0)</f>
        <v/>
      </c>
      <c r="V97" s="116">
        <f>IF(AND(S97=1,L97=R97),1/T97,0)</f>
        <v/>
      </c>
      <c r="W97" s="116">
        <f>IF(AND(S97=1,M97=R97),1/T97,0)</f>
        <v/>
      </c>
      <c r="X97" s="116">
        <f>IF(AND(S97=1,N97=R97),1/T97,0)</f>
        <v/>
      </c>
      <c r="Y97" s="116">
        <f>IF(AND(S97=1,O97=R97),1/T97,0)</f>
        <v/>
      </c>
      <c r="Z97" s="116">
        <f>IF(AND(S97=1,P97=R97),1/T97,0)</f>
        <v/>
      </c>
      <c r="AA97" s="116">
        <f>IF(AND(S97=1,Q97=R97),1/T97,0)</f>
        <v/>
      </c>
    </row>
    <row r="98" ht="21" customHeight="1">
      <c r="A98" s="197" t="n">
        <v>95</v>
      </c>
      <c r="B98" s="228" t="n">
        <v>0</v>
      </c>
      <c r="C98" s="195" t="n">
        <v>100</v>
      </c>
      <c r="D98" s="195" t="n">
        <v>100</v>
      </c>
      <c r="E98" s="195" t="n">
        <v>100</v>
      </c>
      <c r="F98" s="195" t="n">
        <v>100</v>
      </c>
      <c r="G98" s="195" t="n">
        <v>100</v>
      </c>
      <c r="H98" s="196" t="n">
        <v>100</v>
      </c>
      <c r="I98" s="109">
        <f>MAX(C98:H98)</f>
        <v/>
      </c>
      <c r="K98" s="113" t="n">
        <v>0</v>
      </c>
      <c r="L98" s="115">
        <f>C98-$L$1</f>
        <v/>
      </c>
      <c r="M98" s="115">
        <f>D98-$L$1</f>
        <v/>
      </c>
      <c r="N98" s="115">
        <f>E98-$L$1</f>
        <v/>
      </c>
      <c r="O98" s="115">
        <f>F98-$L$1</f>
        <v/>
      </c>
      <c r="P98" s="115">
        <f>G98-$L$1</f>
        <v/>
      </c>
      <c r="Q98" s="115">
        <f>H98-$L$1</f>
        <v/>
      </c>
      <c r="R98" s="116">
        <f>MAX(K98:Q98)</f>
        <v/>
      </c>
      <c r="S98" s="116">
        <f>IF(MAX(L98:Q98)&gt;=0,1,0)</f>
        <v/>
      </c>
      <c r="T98" s="117">
        <f>IF(S98=1,COUNTIF(L98:Q98,R98),0)</f>
        <v/>
      </c>
      <c r="V98" s="116">
        <f>IF(AND(S98=1,L98=R98),1/T98,0)</f>
        <v/>
      </c>
      <c r="W98" s="116">
        <f>IF(AND(S98=1,M98=R98),1/T98,0)</f>
        <v/>
      </c>
      <c r="X98" s="116">
        <f>IF(AND(S98=1,N98=R98),1/T98,0)</f>
        <v/>
      </c>
      <c r="Y98" s="116">
        <f>IF(AND(S98=1,O98=R98),1/T98,0)</f>
        <v/>
      </c>
      <c r="Z98" s="116">
        <f>IF(AND(S98=1,P98=R98),1/T98,0)</f>
        <v/>
      </c>
      <c r="AA98" s="116">
        <f>IF(AND(S98=1,Q98=R98),1/T98,0)</f>
        <v/>
      </c>
    </row>
    <row r="99" ht="21" customHeight="1">
      <c r="A99" s="197" t="n">
        <v>96</v>
      </c>
      <c r="B99" s="228" t="n">
        <v>0</v>
      </c>
      <c r="C99" s="195" t="n">
        <v>75</v>
      </c>
      <c r="D99" s="195" t="n">
        <v>75</v>
      </c>
      <c r="E99" s="195" t="n">
        <v>75</v>
      </c>
      <c r="F99" s="195" t="n">
        <v>75</v>
      </c>
      <c r="G99" s="195" t="n">
        <v>75</v>
      </c>
      <c r="H99" s="196" t="n">
        <v>75</v>
      </c>
      <c r="I99" s="109">
        <f>MAX(C99:H99)</f>
        <v/>
      </c>
      <c r="K99" s="113" t="n">
        <v>0</v>
      </c>
      <c r="L99" s="115">
        <f>C99-$L$1</f>
        <v/>
      </c>
      <c r="M99" s="115">
        <f>D99-$L$1</f>
        <v/>
      </c>
      <c r="N99" s="115">
        <f>E99-$L$1</f>
        <v/>
      </c>
      <c r="O99" s="115">
        <f>F99-$L$1</f>
        <v/>
      </c>
      <c r="P99" s="115">
        <f>G99-$L$1</f>
        <v/>
      </c>
      <c r="Q99" s="115">
        <f>H99-$L$1</f>
        <v/>
      </c>
      <c r="R99" s="116">
        <f>MAX(K99:Q99)</f>
        <v/>
      </c>
      <c r="S99" s="116">
        <f>IF(MAX(L99:Q99)&gt;=0,1,0)</f>
        <v/>
      </c>
      <c r="T99" s="117">
        <f>IF(S99=1,COUNTIF(L99:Q99,R99),0)</f>
        <v/>
      </c>
      <c r="V99" s="116">
        <f>IF(AND(S99=1,L99=R99),1/T99,0)</f>
        <v/>
      </c>
      <c r="W99" s="116">
        <f>IF(AND(S99=1,M99=R99),1/T99,0)</f>
        <v/>
      </c>
      <c r="X99" s="116">
        <f>IF(AND(S99=1,N99=R99),1/T99,0)</f>
        <v/>
      </c>
      <c r="Y99" s="116">
        <f>IF(AND(S99=1,O99=R99),1/T99,0)</f>
        <v/>
      </c>
      <c r="Z99" s="116">
        <f>IF(AND(S99=1,P99=R99),1/T99,0)</f>
        <v/>
      </c>
      <c r="AA99" s="116">
        <f>IF(AND(S99=1,Q99=R99),1/T99,0)</f>
        <v/>
      </c>
    </row>
    <row r="100" ht="21" customHeight="1">
      <c r="A100" s="197" t="n">
        <v>97</v>
      </c>
      <c r="B100" s="228" t="n">
        <v>0</v>
      </c>
      <c r="C100" s="195" t="n">
        <v>25</v>
      </c>
      <c r="D100" s="195" t="n">
        <v>25</v>
      </c>
      <c r="E100" s="195" t="n">
        <v>25</v>
      </c>
      <c r="F100" s="195" t="n">
        <v>25</v>
      </c>
      <c r="G100" s="195" t="n">
        <v>25</v>
      </c>
      <c r="H100" s="196" t="n">
        <v>100</v>
      </c>
      <c r="I100" s="109">
        <f>MAX(C100:H100)</f>
        <v/>
      </c>
      <c r="K100" s="113" t="n">
        <v>0</v>
      </c>
      <c r="L100" s="115">
        <f>C100-$L$1</f>
        <v/>
      </c>
      <c r="M100" s="115">
        <f>D100-$L$1</f>
        <v/>
      </c>
      <c r="N100" s="115">
        <f>E100-$L$1</f>
        <v/>
      </c>
      <c r="O100" s="115">
        <f>F100-$L$1</f>
        <v/>
      </c>
      <c r="P100" s="115">
        <f>G100-$L$1</f>
        <v/>
      </c>
      <c r="Q100" s="115">
        <f>H100-$L$1</f>
        <v/>
      </c>
      <c r="R100" s="116">
        <f>MAX(K100:Q100)</f>
        <v/>
      </c>
      <c r="S100" s="116">
        <f>IF(MAX(L100:Q100)&gt;=0,1,0)</f>
        <v/>
      </c>
      <c r="T100" s="117">
        <f>IF(S100=1,COUNTIF(L100:Q100,R100),0)</f>
        <v/>
      </c>
      <c r="V100" s="116">
        <f>IF(AND(S100=1,L100=R100),1/T100,0)</f>
        <v/>
      </c>
      <c r="W100" s="116">
        <f>IF(AND(S100=1,M100=R100),1/T100,0)</f>
        <v/>
      </c>
      <c r="X100" s="116">
        <f>IF(AND(S100=1,N100=R100),1/T100,0)</f>
        <v/>
      </c>
      <c r="Y100" s="116">
        <f>IF(AND(S100=1,O100=R100),1/T100,0)</f>
        <v/>
      </c>
      <c r="Z100" s="116">
        <f>IF(AND(S100=1,P100=R100),1/T100,0)</f>
        <v/>
      </c>
      <c r="AA100" s="116">
        <f>IF(AND(S100=1,Q100=R100),1/T100,0)</f>
        <v/>
      </c>
    </row>
    <row r="101" ht="21" customHeight="1">
      <c r="A101" s="197" t="n">
        <v>98</v>
      </c>
      <c r="B101" s="228" t="n">
        <v>1</v>
      </c>
      <c r="C101" s="195" t="n">
        <v>50</v>
      </c>
      <c r="D101" s="195" t="n">
        <v>25</v>
      </c>
      <c r="E101" s="195" t="n">
        <v>25</v>
      </c>
      <c r="F101" s="195" t="n">
        <v>25</v>
      </c>
      <c r="G101" s="195" t="n">
        <v>75</v>
      </c>
      <c r="H101" s="196" t="n">
        <v>75</v>
      </c>
      <c r="I101" s="109">
        <f>MAX(C101:H101)</f>
        <v/>
      </c>
      <c r="K101" s="113" t="n">
        <v>0</v>
      </c>
      <c r="L101" s="115">
        <f>C101-$L$1</f>
        <v/>
      </c>
      <c r="M101" s="115">
        <f>D101-$L$1</f>
        <v/>
      </c>
      <c r="N101" s="115">
        <f>E101-$L$1</f>
        <v/>
      </c>
      <c r="O101" s="115">
        <f>F101-$L$1</f>
        <v/>
      </c>
      <c r="P101" s="115">
        <f>G101-$L$1</f>
        <v/>
      </c>
      <c r="Q101" s="115">
        <f>H101-$L$1</f>
        <v/>
      </c>
      <c r="R101" s="116">
        <f>MAX(K101:Q101)</f>
        <v/>
      </c>
      <c r="S101" s="116">
        <f>IF(MAX(L101:Q101)&gt;=0,1,0)</f>
        <v/>
      </c>
      <c r="T101" s="117">
        <f>IF(S101=1,COUNTIF(L101:Q101,R101),0)</f>
        <v/>
      </c>
      <c r="V101" s="116">
        <f>IF(AND(S101=1,L101=R101),1/T101,0)</f>
        <v/>
      </c>
      <c r="W101" s="116">
        <f>IF(AND(S101=1,M101=R101),1/T101,0)</f>
        <v/>
      </c>
      <c r="X101" s="116">
        <f>IF(AND(S101=1,N101=R101),1/T101,0)</f>
        <v/>
      </c>
      <c r="Y101" s="116">
        <f>IF(AND(S101=1,O101=R101),1/T101,0)</f>
        <v/>
      </c>
      <c r="Z101" s="116">
        <f>IF(AND(S101=1,P101=R101),1/T101,0)</f>
        <v/>
      </c>
      <c r="AA101" s="116">
        <f>IF(AND(S101=1,Q101=R101),1/T101,0)</f>
        <v/>
      </c>
    </row>
    <row r="102" ht="21" customHeight="1">
      <c r="A102" s="197" t="n">
        <v>99</v>
      </c>
      <c r="B102" s="228" t="n">
        <v>1</v>
      </c>
      <c r="C102" s="195" t="n">
        <v>75</v>
      </c>
      <c r="D102" s="195" t="n">
        <v>75</v>
      </c>
      <c r="E102" s="195" t="n">
        <v>75</v>
      </c>
      <c r="F102" s="195" t="n">
        <v>75</v>
      </c>
      <c r="G102" s="195" t="n">
        <v>75</v>
      </c>
      <c r="H102" s="196" t="n">
        <v>75</v>
      </c>
      <c r="I102" s="109">
        <f>MAX(C102:H102)</f>
        <v/>
      </c>
      <c r="K102" s="113" t="n">
        <v>0</v>
      </c>
      <c r="L102" s="115">
        <f>C102-$L$1</f>
        <v/>
      </c>
      <c r="M102" s="115">
        <f>D102-$L$1</f>
        <v/>
      </c>
      <c r="N102" s="115">
        <f>E102-$L$1</f>
        <v/>
      </c>
      <c r="O102" s="115">
        <f>F102-$L$1</f>
        <v/>
      </c>
      <c r="P102" s="115">
        <f>G102-$L$1</f>
        <v/>
      </c>
      <c r="Q102" s="115">
        <f>H102-$L$1</f>
        <v/>
      </c>
      <c r="R102" s="116">
        <f>MAX(K102:Q102)</f>
        <v/>
      </c>
      <c r="S102" s="116">
        <f>IF(MAX(L102:Q102)&gt;=0,1,0)</f>
        <v/>
      </c>
      <c r="T102" s="117">
        <f>IF(S102=1,COUNTIF(L102:Q102,R102),0)</f>
        <v/>
      </c>
      <c r="V102" s="116">
        <f>IF(AND(S102=1,L102=R102),1/T102,0)</f>
        <v/>
      </c>
      <c r="W102" s="116">
        <f>IF(AND(S102=1,M102=R102),1/T102,0)</f>
        <v/>
      </c>
      <c r="X102" s="116">
        <f>IF(AND(S102=1,N102=R102),1/T102,0)</f>
        <v/>
      </c>
      <c r="Y102" s="116">
        <f>IF(AND(S102=1,O102=R102),1/T102,0)</f>
        <v/>
      </c>
      <c r="Z102" s="116">
        <f>IF(AND(S102=1,P102=R102),1/T102,0)</f>
        <v/>
      </c>
      <c r="AA102" s="116">
        <f>IF(AND(S102=1,Q102=R102),1/T102,0)</f>
        <v/>
      </c>
    </row>
    <row r="103" ht="21" customHeight="1">
      <c r="A103" s="197" t="n">
        <v>100</v>
      </c>
      <c r="B103" s="228" t="n">
        <v>0</v>
      </c>
      <c r="C103" s="195" t="n">
        <v>100</v>
      </c>
      <c r="D103" s="195" t="n">
        <v>100</v>
      </c>
      <c r="E103" s="195" t="n">
        <v>100</v>
      </c>
      <c r="F103" s="195" t="n">
        <v>100</v>
      </c>
      <c r="G103" s="195" t="n">
        <v>100</v>
      </c>
      <c r="H103" s="196" t="n">
        <v>100</v>
      </c>
      <c r="I103" s="109">
        <f>MAX(C103:H103)</f>
        <v/>
      </c>
      <c r="K103" s="113" t="n">
        <v>0</v>
      </c>
      <c r="L103" s="115">
        <f>C103-$L$1</f>
        <v/>
      </c>
      <c r="M103" s="115">
        <f>D103-$L$1</f>
        <v/>
      </c>
      <c r="N103" s="115">
        <f>E103-$L$1</f>
        <v/>
      </c>
      <c r="O103" s="115">
        <f>F103-$L$1</f>
        <v/>
      </c>
      <c r="P103" s="115">
        <f>G103-$L$1</f>
        <v/>
      </c>
      <c r="Q103" s="115">
        <f>H103-$L$1</f>
        <v/>
      </c>
      <c r="R103" s="116">
        <f>MAX(K103:Q103)</f>
        <v/>
      </c>
      <c r="S103" s="116">
        <f>IF(MAX(L103:Q103)&gt;=0,1,0)</f>
        <v/>
      </c>
      <c r="T103" s="117">
        <f>IF(S103=1,COUNTIF(L103:Q103,R103),0)</f>
        <v/>
      </c>
      <c r="V103" s="116">
        <f>IF(AND(S103=1,L103=R103),1/T103,0)</f>
        <v/>
      </c>
      <c r="W103" s="116">
        <f>IF(AND(S103=1,M103=R103),1/T103,0)</f>
        <v/>
      </c>
      <c r="X103" s="116">
        <f>IF(AND(S103=1,N103=R103),1/T103,0)</f>
        <v/>
      </c>
      <c r="Y103" s="116">
        <f>IF(AND(S103=1,O103=R103),1/T103,0)</f>
        <v/>
      </c>
      <c r="Z103" s="116">
        <f>IF(AND(S103=1,P103=R103),1/T103,0)</f>
        <v/>
      </c>
      <c r="AA103" s="116">
        <f>IF(AND(S103=1,Q103=R103),1/T103,0)</f>
        <v/>
      </c>
    </row>
    <row r="104" ht="21" customHeight="1">
      <c r="A104" s="197" t="n">
        <v>101</v>
      </c>
      <c r="B104" s="228" t="n">
        <v>0</v>
      </c>
      <c r="C104" s="195" t="n">
        <v>75</v>
      </c>
      <c r="D104" s="195" t="n">
        <v>75</v>
      </c>
      <c r="E104" s="195" t="n">
        <v>75</v>
      </c>
      <c r="F104" s="195" t="n">
        <v>75</v>
      </c>
      <c r="G104" s="195" t="n">
        <v>75</v>
      </c>
      <c r="H104" s="196" t="n">
        <v>50</v>
      </c>
      <c r="I104" s="109">
        <f>MAX(C104:H104)</f>
        <v/>
      </c>
      <c r="K104" s="113" t="n">
        <v>0</v>
      </c>
      <c r="L104" s="115">
        <f>C104-$L$1</f>
        <v/>
      </c>
      <c r="M104" s="115">
        <f>D104-$L$1</f>
        <v/>
      </c>
      <c r="N104" s="115">
        <f>E104-$L$1</f>
        <v/>
      </c>
      <c r="O104" s="115">
        <f>F104-$L$1</f>
        <v/>
      </c>
      <c r="P104" s="115">
        <f>G104-$L$1</f>
        <v/>
      </c>
      <c r="Q104" s="115">
        <f>H104-$L$1</f>
        <v/>
      </c>
      <c r="R104" s="116">
        <f>MAX(K104:Q104)</f>
        <v/>
      </c>
      <c r="S104" s="116">
        <f>IF(MAX(L104:Q104)&gt;=0,1,0)</f>
        <v/>
      </c>
      <c r="T104" s="117">
        <f>IF(S104=1,COUNTIF(L104:Q104,R104),0)</f>
        <v/>
      </c>
      <c r="V104" s="116">
        <f>IF(AND(S104=1,L104=R104),1/T104,0)</f>
        <v/>
      </c>
      <c r="W104" s="116">
        <f>IF(AND(S104=1,M104=R104),1/T104,0)</f>
        <v/>
      </c>
      <c r="X104" s="116">
        <f>IF(AND(S104=1,N104=R104),1/T104,0)</f>
        <v/>
      </c>
      <c r="Y104" s="116">
        <f>IF(AND(S104=1,O104=R104),1/T104,0)</f>
        <v/>
      </c>
      <c r="Z104" s="116">
        <f>IF(AND(S104=1,P104=R104),1/T104,0)</f>
        <v/>
      </c>
      <c r="AA104" s="116">
        <f>IF(AND(S104=1,Q104=R104),1/T104,0)</f>
        <v/>
      </c>
    </row>
    <row r="105" ht="21" customHeight="1">
      <c r="A105" s="197" t="n">
        <v>102</v>
      </c>
      <c r="B105" s="228" t="n">
        <v>0</v>
      </c>
      <c r="C105" s="195" t="n">
        <v>125</v>
      </c>
      <c r="D105" s="195" t="n">
        <v>125</v>
      </c>
      <c r="E105" s="195" t="n">
        <v>125</v>
      </c>
      <c r="F105" s="195" t="n">
        <v>125</v>
      </c>
      <c r="G105" s="195" t="n">
        <v>125</v>
      </c>
      <c r="H105" s="196" t="n">
        <v>125</v>
      </c>
      <c r="I105" s="109">
        <f>MAX(C105:H105)</f>
        <v/>
      </c>
      <c r="K105" s="113" t="n">
        <v>0</v>
      </c>
      <c r="L105" s="115">
        <f>C105-$L$1</f>
        <v/>
      </c>
      <c r="M105" s="115">
        <f>D105-$L$1</f>
        <v/>
      </c>
      <c r="N105" s="115">
        <f>E105-$L$1</f>
        <v/>
      </c>
      <c r="O105" s="115">
        <f>F105-$L$1</f>
        <v/>
      </c>
      <c r="P105" s="115">
        <f>G105-$L$1</f>
        <v/>
      </c>
      <c r="Q105" s="115">
        <f>H105-$L$1</f>
        <v/>
      </c>
      <c r="R105" s="116">
        <f>MAX(K105:Q105)</f>
        <v/>
      </c>
      <c r="S105" s="116">
        <f>IF(MAX(L105:Q105)&gt;=0,1,0)</f>
        <v/>
      </c>
      <c r="T105" s="117">
        <f>IF(S105=1,COUNTIF(L105:Q105,R105),0)</f>
        <v/>
      </c>
      <c r="V105" s="116">
        <f>IF(AND(S105=1,L105=R105),1/T105,0)</f>
        <v/>
      </c>
      <c r="W105" s="116">
        <f>IF(AND(S105=1,M105=R105),1/T105,0)</f>
        <v/>
      </c>
      <c r="X105" s="116">
        <f>IF(AND(S105=1,N105=R105),1/T105,0)</f>
        <v/>
      </c>
      <c r="Y105" s="116">
        <f>IF(AND(S105=1,O105=R105),1/T105,0)</f>
        <v/>
      </c>
      <c r="Z105" s="116">
        <f>IF(AND(S105=1,P105=R105),1/T105,0)</f>
        <v/>
      </c>
      <c r="AA105" s="116">
        <f>IF(AND(S105=1,Q105=R105),1/T105,0)</f>
        <v/>
      </c>
    </row>
    <row r="106" ht="21" customHeight="1">
      <c r="A106" s="197" t="n">
        <v>103</v>
      </c>
      <c r="B106" s="228" t="n">
        <v>0</v>
      </c>
      <c r="C106" s="195" t="n">
        <v>75</v>
      </c>
      <c r="D106" s="195" t="n">
        <v>25</v>
      </c>
      <c r="E106" s="195" t="n">
        <v>25</v>
      </c>
      <c r="F106" s="195" t="n">
        <v>25</v>
      </c>
      <c r="G106" s="195" t="n">
        <v>75</v>
      </c>
      <c r="H106" s="196" t="n">
        <v>75</v>
      </c>
      <c r="I106" s="109">
        <f>MAX(C106:H106)</f>
        <v/>
      </c>
      <c r="K106" s="113" t="n">
        <v>0</v>
      </c>
      <c r="L106" s="115">
        <f>C106-$L$1</f>
        <v/>
      </c>
      <c r="M106" s="115">
        <f>D106-$L$1</f>
        <v/>
      </c>
      <c r="N106" s="115">
        <f>E106-$L$1</f>
        <v/>
      </c>
      <c r="O106" s="115">
        <f>F106-$L$1</f>
        <v/>
      </c>
      <c r="P106" s="115">
        <f>G106-$L$1</f>
        <v/>
      </c>
      <c r="Q106" s="115">
        <f>H106-$L$1</f>
        <v/>
      </c>
      <c r="R106" s="116">
        <f>MAX(K106:Q106)</f>
        <v/>
      </c>
      <c r="S106" s="116">
        <f>IF(MAX(L106:Q106)&gt;=0,1,0)</f>
        <v/>
      </c>
      <c r="T106" s="117">
        <f>IF(S106=1,COUNTIF(L106:Q106,R106),0)</f>
        <v/>
      </c>
      <c r="V106" s="116">
        <f>IF(AND(S106=1,L106=R106),1/T106,0)</f>
        <v/>
      </c>
      <c r="W106" s="116">
        <f>IF(AND(S106=1,M106=R106),1/T106,0)</f>
        <v/>
      </c>
      <c r="X106" s="116">
        <f>IF(AND(S106=1,N106=R106),1/T106,0)</f>
        <v/>
      </c>
      <c r="Y106" s="116">
        <f>IF(AND(S106=1,O106=R106),1/T106,0)</f>
        <v/>
      </c>
      <c r="Z106" s="116">
        <f>IF(AND(S106=1,P106=R106),1/T106,0)</f>
        <v/>
      </c>
      <c r="AA106" s="116">
        <f>IF(AND(S106=1,Q106=R106),1/T106,0)</f>
        <v/>
      </c>
    </row>
    <row r="107" ht="21" customHeight="1">
      <c r="A107" s="197" t="n">
        <v>104</v>
      </c>
      <c r="B107" s="228" t="n">
        <v>0</v>
      </c>
      <c r="C107" s="195" t="n">
        <v>75</v>
      </c>
      <c r="D107" s="195" t="n">
        <v>75</v>
      </c>
      <c r="E107" s="195" t="n">
        <v>75</v>
      </c>
      <c r="F107" s="195" t="n">
        <v>75</v>
      </c>
      <c r="G107" s="195" t="n">
        <v>75</v>
      </c>
      <c r="H107" s="196" t="n">
        <v>75</v>
      </c>
      <c r="I107" s="109">
        <f>MAX(C107:H107)</f>
        <v/>
      </c>
      <c r="K107" s="113" t="n">
        <v>0</v>
      </c>
      <c r="L107" s="115">
        <f>C107-$L$1</f>
        <v/>
      </c>
      <c r="M107" s="115">
        <f>D107-$L$1</f>
        <v/>
      </c>
      <c r="N107" s="115">
        <f>E107-$L$1</f>
        <v/>
      </c>
      <c r="O107" s="115">
        <f>F107-$L$1</f>
        <v/>
      </c>
      <c r="P107" s="115">
        <f>G107-$L$1</f>
        <v/>
      </c>
      <c r="Q107" s="115">
        <f>H107-$L$1</f>
        <v/>
      </c>
      <c r="R107" s="116">
        <f>MAX(K107:Q107)</f>
        <v/>
      </c>
      <c r="S107" s="116">
        <f>IF(MAX(L107:Q107)&gt;=0,1,0)</f>
        <v/>
      </c>
      <c r="T107" s="117">
        <f>IF(S107=1,COUNTIF(L107:Q107,R107),0)</f>
        <v/>
      </c>
      <c r="V107" s="116">
        <f>IF(AND(S107=1,L107=R107),1/T107,0)</f>
        <v/>
      </c>
      <c r="W107" s="116">
        <f>IF(AND(S107=1,M107=R107),1/T107,0)</f>
        <v/>
      </c>
      <c r="X107" s="116">
        <f>IF(AND(S107=1,N107=R107),1/T107,0)</f>
        <v/>
      </c>
      <c r="Y107" s="116">
        <f>IF(AND(S107=1,O107=R107),1/T107,0)</f>
        <v/>
      </c>
      <c r="Z107" s="116">
        <f>IF(AND(S107=1,P107=R107),1/T107,0)</f>
        <v/>
      </c>
      <c r="AA107" s="116">
        <f>IF(AND(S107=1,Q107=R107),1/T107,0)</f>
        <v/>
      </c>
    </row>
    <row r="108" ht="21" customHeight="1">
      <c r="A108" s="197" t="n">
        <v>105</v>
      </c>
      <c r="B108" s="228" t="n">
        <v>0</v>
      </c>
      <c r="C108" s="195" t="n">
        <v>50</v>
      </c>
      <c r="D108" s="195" t="n">
        <v>50</v>
      </c>
      <c r="E108" s="195" t="n">
        <v>50</v>
      </c>
      <c r="F108" s="195" t="n">
        <v>50</v>
      </c>
      <c r="G108" s="195" t="n">
        <v>50</v>
      </c>
      <c r="H108" s="196" t="n">
        <v>50</v>
      </c>
      <c r="I108" s="109">
        <f>MAX(C108:H108)</f>
        <v/>
      </c>
      <c r="K108" s="113" t="n">
        <v>0</v>
      </c>
      <c r="L108" s="115">
        <f>C108-$L$1</f>
        <v/>
      </c>
      <c r="M108" s="115">
        <f>D108-$L$1</f>
        <v/>
      </c>
      <c r="N108" s="115">
        <f>E108-$L$1</f>
        <v/>
      </c>
      <c r="O108" s="115">
        <f>F108-$L$1</f>
        <v/>
      </c>
      <c r="P108" s="115">
        <f>G108-$L$1</f>
        <v/>
      </c>
      <c r="Q108" s="115">
        <f>H108-$L$1</f>
        <v/>
      </c>
      <c r="R108" s="116">
        <f>MAX(K108:Q108)</f>
        <v/>
      </c>
      <c r="S108" s="116">
        <f>IF(MAX(L108:Q108)&gt;=0,1,0)</f>
        <v/>
      </c>
      <c r="T108" s="117">
        <f>IF(S108=1,COUNTIF(L108:Q108,R108),0)</f>
        <v/>
      </c>
      <c r="V108" s="116">
        <f>IF(AND(S108=1,L108=R108),1/T108,0)</f>
        <v/>
      </c>
      <c r="W108" s="116">
        <f>IF(AND(S108=1,M108=R108),1/T108,0)</f>
        <v/>
      </c>
      <c r="X108" s="116">
        <f>IF(AND(S108=1,N108=R108),1/T108,0)</f>
        <v/>
      </c>
      <c r="Y108" s="116">
        <f>IF(AND(S108=1,O108=R108),1/T108,0)</f>
        <v/>
      </c>
      <c r="Z108" s="116">
        <f>IF(AND(S108=1,P108=R108),1/T108,0)</f>
        <v/>
      </c>
      <c r="AA108" s="116">
        <f>IF(AND(S108=1,Q108=R108),1/T108,0)</f>
        <v/>
      </c>
    </row>
    <row r="109" ht="21" customHeight="1">
      <c r="A109" s="197" t="n">
        <v>106</v>
      </c>
      <c r="B109" s="228" t="n">
        <v>0</v>
      </c>
      <c r="C109" s="195" t="n">
        <v>75</v>
      </c>
      <c r="D109" s="195" t="n">
        <v>75</v>
      </c>
      <c r="E109" s="195" t="n">
        <v>75</v>
      </c>
      <c r="F109" s="195" t="n">
        <v>75</v>
      </c>
      <c r="G109" s="195" t="n">
        <v>75</v>
      </c>
      <c r="H109" s="196" t="n">
        <v>75</v>
      </c>
      <c r="I109" s="109">
        <f>MAX(C109:H109)</f>
        <v/>
      </c>
      <c r="K109" s="113" t="n">
        <v>0</v>
      </c>
      <c r="L109" s="115">
        <f>C109-$L$1</f>
        <v/>
      </c>
      <c r="M109" s="115">
        <f>D109-$L$1</f>
        <v/>
      </c>
      <c r="N109" s="115">
        <f>E109-$L$1</f>
        <v/>
      </c>
      <c r="O109" s="115">
        <f>F109-$L$1</f>
        <v/>
      </c>
      <c r="P109" s="115">
        <f>G109-$L$1</f>
        <v/>
      </c>
      <c r="Q109" s="115">
        <f>H109-$L$1</f>
        <v/>
      </c>
      <c r="R109" s="116">
        <f>MAX(K109:Q109)</f>
        <v/>
      </c>
      <c r="S109" s="116">
        <f>IF(MAX(L109:Q109)&gt;=0,1,0)</f>
        <v/>
      </c>
      <c r="T109" s="117">
        <f>IF(S109=1,COUNTIF(L109:Q109,R109),0)</f>
        <v/>
      </c>
      <c r="V109" s="116">
        <f>IF(AND(S109=1,L109=R109),1/T109,0)</f>
        <v/>
      </c>
      <c r="W109" s="116">
        <f>IF(AND(S109=1,M109=R109),1/T109,0)</f>
        <v/>
      </c>
      <c r="X109" s="116">
        <f>IF(AND(S109=1,N109=R109),1/T109,0)</f>
        <v/>
      </c>
      <c r="Y109" s="116">
        <f>IF(AND(S109=1,O109=R109),1/T109,0)</f>
        <v/>
      </c>
      <c r="Z109" s="116">
        <f>IF(AND(S109=1,P109=R109),1/T109,0)</f>
        <v/>
      </c>
      <c r="AA109" s="116">
        <f>IF(AND(S109=1,Q109=R109),1/T109,0)</f>
        <v/>
      </c>
    </row>
    <row r="110" ht="21" customHeight="1">
      <c r="A110" s="197" t="n">
        <v>107</v>
      </c>
      <c r="B110" s="228" t="n">
        <v>1</v>
      </c>
      <c r="C110" s="195" t="n">
        <v>125</v>
      </c>
      <c r="D110" s="195" t="n">
        <v>100</v>
      </c>
      <c r="E110" s="195" t="n">
        <v>100</v>
      </c>
      <c r="F110" s="195" t="n">
        <v>100</v>
      </c>
      <c r="G110" s="195" t="n">
        <v>125</v>
      </c>
      <c r="H110" s="196" t="n">
        <v>100</v>
      </c>
      <c r="I110" s="109">
        <f>MAX(C110:H110)</f>
        <v/>
      </c>
      <c r="K110" s="113" t="n">
        <v>0</v>
      </c>
      <c r="L110" s="115">
        <f>C110-$L$1</f>
        <v/>
      </c>
      <c r="M110" s="115">
        <f>D110-$L$1</f>
        <v/>
      </c>
      <c r="N110" s="115">
        <f>E110-$L$1</f>
        <v/>
      </c>
      <c r="O110" s="115">
        <f>F110-$L$1</f>
        <v/>
      </c>
      <c r="P110" s="115">
        <f>G110-$L$1</f>
        <v/>
      </c>
      <c r="Q110" s="115">
        <f>H110-$L$1</f>
        <v/>
      </c>
      <c r="R110" s="116">
        <f>MAX(K110:Q110)</f>
        <v/>
      </c>
      <c r="S110" s="116">
        <f>IF(MAX(L110:Q110)&gt;=0,1,0)</f>
        <v/>
      </c>
      <c r="T110" s="117">
        <f>IF(S110=1,COUNTIF(L110:Q110,R110),0)</f>
        <v/>
      </c>
      <c r="V110" s="116">
        <f>IF(AND(S110=1,L110=R110),1/T110,0)</f>
        <v/>
      </c>
      <c r="W110" s="116">
        <f>IF(AND(S110=1,M110=R110),1/T110,0)</f>
        <v/>
      </c>
      <c r="X110" s="116">
        <f>IF(AND(S110=1,N110=R110),1/T110,0)</f>
        <v/>
      </c>
      <c r="Y110" s="116">
        <f>IF(AND(S110=1,O110=R110),1/T110,0)</f>
        <v/>
      </c>
      <c r="Z110" s="116">
        <f>IF(AND(S110=1,P110=R110),1/T110,0)</f>
        <v/>
      </c>
      <c r="AA110" s="116">
        <f>IF(AND(S110=1,Q110=R110),1/T110,0)</f>
        <v/>
      </c>
    </row>
    <row r="111" ht="21" customHeight="1">
      <c r="A111" s="197" t="n">
        <v>108</v>
      </c>
      <c r="B111" s="228" t="n">
        <v>0</v>
      </c>
      <c r="C111" s="195" t="n">
        <v>75</v>
      </c>
      <c r="D111" s="195" t="n">
        <v>75</v>
      </c>
      <c r="E111" s="195" t="n">
        <v>75</v>
      </c>
      <c r="F111" s="195" t="n">
        <v>75</v>
      </c>
      <c r="G111" s="195" t="n">
        <v>75</v>
      </c>
      <c r="H111" s="196" t="n">
        <v>75</v>
      </c>
      <c r="I111" s="109">
        <f>MAX(C111:H111)</f>
        <v/>
      </c>
      <c r="K111" s="113" t="n">
        <v>0</v>
      </c>
      <c r="L111" s="115">
        <f>C111-$L$1</f>
        <v/>
      </c>
      <c r="M111" s="115">
        <f>D111-$L$1</f>
        <v/>
      </c>
      <c r="N111" s="115">
        <f>E111-$L$1</f>
        <v/>
      </c>
      <c r="O111" s="115">
        <f>F111-$L$1</f>
        <v/>
      </c>
      <c r="P111" s="115">
        <f>G111-$L$1</f>
        <v/>
      </c>
      <c r="Q111" s="115">
        <f>H111-$L$1</f>
        <v/>
      </c>
      <c r="R111" s="116">
        <f>MAX(K111:Q111)</f>
        <v/>
      </c>
      <c r="S111" s="116">
        <f>IF(MAX(L111:Q111)&gt;=0,1,0)</f>
        <v/>
      </c>
      <c r="T111" s="117">
        <f>IF(S111=1,COUNTIF(L111:Q111,R111),0)</f>
        <v/>
      </c>
      <c r="V111" s="116">
        <f>IF(AND(S111=1,L111=R111),1/T111,0)</f>
        <v/>
      </c>
      <c r="W111" s="116">
        <f>IF(AND(S111=1,M111=R111),1/T111,0)</f>
        <v/>
      </c>
      <c r="X111" s="116">
        <f>IF(AND(S111=1,N111=R111),1/T111,0)</f>
        <v/>
      </c>
      <c r="Y111" s="116">
        <f>IF(AND(S111=1,O111=R111),1/T111,0)</f>
        <v/>
      </c>
      <c r="Z111" s="116">
        <f>IF(AND(S111=1,P111=R111),1/T111,0)</f>
        <v/>
      </c>
      <c r="AA111" s="116">
        <f>IF(AND(S111=1,Q111=R111),1/T111,0)</f>
        <v/>
      </c>
    </row>
    <row r="112" ht="21" customHeight="1">
      <c r="A112" s="197" t="n">
        <v>109</v>
      </c>
      <c r="B112" s="228" t="n">
        <v>0</v>
      </c>
      <c r="C112" s="195" t="n">
        <v>50</v>
      </c>
      <c r="D112" s="195" t="n">
        <v>50</v>
      </c>
      <c r="E112" s="195" t="n">
        <v>75</v>
      </c>
      <c r="F112" s="195" t="n">
        <v>50</v>
      </c>
      <c r="G112" s="195" t="n">
        <v>50</v>
      </c>
      <c r="H112" s="196" t="n">
        <v>50</v>
      </c>
      <c r="I112" s="109">
        <f>MAX(C112:H112)</f>
        <v/>
      </c>
      <c r="K112" s="113" t="n">
        <v>0</v>
      </c>
      <c r="L112" s="115">
        <f>C112-$L$1</f>
        <v/>
      </c>
      <c r="M112" s="115">
        <f>D112-$L$1</f>
        <v/>
      </c>
      <c r="N112" s="115">
        <f>E112-$L$1</f>
        <v/>
      </c>
      <c r="O112" s="115">
        <f>F112-$L$1</f>
        <v/>
      </c>
      <c r="P112" s="115">
        <f>G112-$L$1</f>
        <v/>
      </c>
      <c r="Q112" s="115">
        <f>H112-$L$1</f>
        <v/>
      </c>
      <c r="R112" s="116">
        <f>MAX(K112:Q112)</f>
        <v/>
      </c>
      <c r="S112" s="116">
        <f>IF(MAX(L112:Q112)&gt;=0,1,0)</f>
        <v/>
      </c>
      <c r="T112" s="117">
        <f>IF(S112=1,COUNTIF(L112:Q112,R112),0)</f>
        <v/>
      </c>
      <c r="V112" s="116">
        <f>IF(AND(S112=1,L112=R112),1/T112,0)</f>
        <v/>
      </c>
      <c r="W112" s="116">
        <f>IF(AND(S112=1,M112=R112),1/T112,0)</f>
        <v/>
      </c>
      <c r="X112" s="116">
        <f>IF(AND(S112=1,N112=R112),1/T112,0)</f>
        <v/>
      </c>
      <c r="Y112" s="116">
        <f>IF(AND(S112=1,O112=R112),1/T112,0)</f>
        <v/>
      </c>
      <c r="Z112" s="116">
        <f>IF(AND(S112=1,P112=R112),1/T112,0)</f>
        <v/>
      </c>
      <c r="AA112" s="116">
        <f>IF(AND(S112=1,Q112=R112),1/T112,0)</f>
        <v/>
      </c>
    </row>
    <row r="113" ht="21" customHeight="1">
      <c r="A113" s="197" t="n">
        <v>110</v>
      </c>
      <c r="B113" s="228" t="n">
        <v>0</v>
      </c>
      <c r="C113" s="195" t="n">
        <v>50</v>
      </c>
      <c r="D113" s="195" t="n">
        <v>75</v>
      </c>
      <c r="E113" s="195" t="n">
        <v>75</v>
      </c>
      <c r="F113" s="195" t="n">
        <v>75</v>
      </c>
      <c r="G113" s="195" t="n">
        <v>100</v>
      </c>
      <c r="H113" s="196" t="n">
        <v>75</v>
      </c>
      <c r="I113" s="109">
        <f>MAX(C113:H113)</f>
        <v/>
      </c>
      <c r="K113" s="113" t="n">
        <v>0</v>
      </c>
      <c r="L113" s="115">
        <f>C113-$L$1</f>
        <v/>
      </c>
      <c r="M113" s="115">
        <f>D113-$L$1</f>
        <v/>
      </c>
      <c r="N113" s="115">
        <f>E113-$L$1</f>
        <v/>
      </c>
      <c r="O113" s="115">
        <f>F113-$L$1</f>
        <v/>
      </c>
      <c r="P113" s="115">
        <f>G113-$L$1</f>
        <v/>
      </c>
      <c r="Q113" s="115">
        <f>H113-$L$1</f>
        <v/>
      </c>
      <c r="R113" s="116">
        <f>MAX(K113:Q113)</f>
        <v/>
      </c>
      <c r="S113" s="116">
        <f>IF(MAX(L113:Q113)&gt;=0,1,0)</f>
        <v/>
      </c>
      <c r="T113" s="117">
        <f>IF(S113=1,COUNTIF(L113:Q113,R113),0)</f>
        <v/>
      </c>
      <c r="V113" s="116">
        <f>IF(AND(S113=1,L113=R113),1/T113,0)</f>
        <v/>
      </c>
      <c r="W113" s="116">
        <f>IF(AND(S113=1,M113=R113),1/T113,0)</f>
        <v/>
      </c>
      <c r="X113" s="116">
        <f>IF(AND(S113=1,N113=R113),1/T113,0)</f>
        <v/>
      </c>
      <c r="Y113" s="116">
        <f>IF(AND(S113=1,O113=R113),1/T113,0)</f>
        <v/>
      </c>
      <c r="Z113" s="116">
        <f>IF(AND(S113=1,P113=R113),1/T113,0)</f>
        <v/>
      </c>
      <c r="AA113" s="116">
        <f>IF(AND(S113=1,Q113=R113),1/T113,0)</f>
        <v/>
      </c>
    </row>
    <row r="114" ht="21" customHeight="1">
      <c r="A114" s="197" t="n">
        <v>111</v>
      </c>
      <c r="B114" s="228" t="n">
        <v>0</v>
      </c>
      <c r="C114" s="195" t="n">
        <v>50</v>
      </c>
      <c r="D114" s="195" t="n">
        <v>25</v>
      </c>
      <c r="E114" s="195" t="n">
        <v>25</v>
      </c>
      <c r="F114" s="195" t="n">
        <v>25</v>
      </c>
      <c r="G114" s="195" t="n">
        <v>25</v>
      </c>
      <c r="H114" s="196" t="n">
        <v>25</v>
      </c>
      <c r="I114" s="109">
        <f>MAX(C114:H114)</f>
        <v/>
      </c>
      <c r="K114" s="113" t="n">
        <v>0</v>
      </c>
      <c r="L114" s="115">
        <f>C114-$L$1</f>
        <v/>
      </c>
      <c r="M114" s="115">
        <f>D114-$L$1</f>
        <v/>
      </c>
      <c r="N114" s="115">
        <f>E114-$L$1</f>
        <v/>
      </c>
      <c r="O114" s="115">
        <f>F114-$L$1</f>
        <v/>
      </c>
      <c r="P114" s="115">
        <f>G114-$L$1</f>
        <v/>
      </c>
      <c r="Q114" s="115">
        <f>H114-$L$1</f>
        <v/>
      </c>
      <c r="R114" s="116">
        <f>MAX(K114:Q114)</f>
        <v/>
      </c>
      <c r="S114" s="116">
        <f>IF(MAX(L114:Q114)&gt;=0,1,0)</f>
        <v/>
      </c>
      <c r="T114" s="117">
        <f>IF(S114=1,COUNTIF(L114:Q114,R114),0)</f>
        <v/>
      </c>
      <c r="V114" s="116">
        <f>IF(AND(S114=1,L114=R114),1/T114,0)</f>
        <v/>
      </c>
      <c r="W114" s="116">
        <f>IF(AND(S114=1,M114=R114),1/T114,0)</f>
        <v/>
      </c>
      <c r="X114" s="116">
        <f>IF(AND(S114=1,N114=R114),1/T114,0)</f>
        <v/>
      </c>
      <c r="Y114" s="116">
        <f>IF(AND(S114=1,O114=R114),1/T114,0)</f>
        <v/>
      </c>
      <c r="Z114" s="116">
        <f>IF(AND(S114=1,P114=R114),1/T114,0)</f>
        <v/>
      </c>
      <c r="AA114" s="116">
        <f>IF(AND(S114=1,Q114=R114),1/T114,0)</f>
        <v/>
      </c>
    </row>
    <row r="115" ht="21" customHeight="1">
      <c r="A115" s="197" t="n">
        <v>112</v>
      </c>
      <c r="B115" s="228" t="n">
        <v>1</v>
      </c>
      <c r="C115" s="195" t="n">
        <v>25</v>
      </c>
      <c r="D115" s="195" t="n">
        <v>25</v>
      </c>
      <c r="E115" s="195" t="n">
        <v>25</v>
      </c>
      <c r="F115" s="195" t="n">
        <v>25</v>
      </c>
      <c r="G115" s="195" t="n">
        <v>25</v>
      </c>
      <c r="H115" s="196" t="n">
        <v>25</v>
      </c>
      <c r="I115" s="109">
        <f>MAX(C115:H115)</f>
        <v/>
      </c>
      <c r="K115" s="113" t="n">
        <v>0</v>
      </c>
      <c r="L115" s="115">
        <f>C115-$L$1</f>
        <v/>
      </c>
      <c r="M115" s="115">
        <f>D115-$L$1</f>
        <v/>
      </c>
      <c r="N115" s="115">
        <f>E115-$L$1</f>
        <v/>
      </c>
      <c r="O115" s="115">
        <f>F115-$L$1</f>
        <v/>
      </c>
      <c r="P115" s="115">
        <f>G115-$L$1</f>
        <v/>
      </c>
      <c r="Q115" s="115">
        <f>H115-$L$1</f>
        <v/>
      </c>
      <c r="R115" s="116">
        <f>MAX(K115:Q115)</f>
        <v/>
      </c>
      <c r="S115" s="116">
        <f>IF(MAX(L115:Q115)&gt;=0,1,0)</f>
        <v/>
      </c>
      <c r="T115" s="117">
        <f>IF(S115=1,COUNTIF(L115:Q115,R115),0)</f>
        <v/>
      </c>
      <c r="V115" s="116">
        <f>IF(AND(S115=1,L115=R115),1/T115,0)</f>
        <v/>
      </c>
      <c r="W115" s="116">
        <f>IF(AND(S115=1,M115=R115),1/T115,0)</f>
        <v/>
      </c>
      <c r="X115" s="116">
        <f>IF(AND(S115=1,N115=R115),1/T115,0)</f>
        <v/>
      </c>
      <c r="Y115" s="116">
        <f>IF(AND(S115=1,O115=R115),1/T115,0)</f>
        <v/>
      </c>
      <c r="Z115" s="116">
        <f>IF(AND(S115=1,P115=R115),1/T115,0)</f>
        <v/>
      </c>
      <c r="AA115" s="116">
        <f>IF(AND(S115=1,Q115=R115),1/T115,0)</f>
        <v/>
      </c>
    </row>
    <row r="116" ht="21" customHeight="1">
      <c r="A116" s="225" t="n">
        <v>113</v>
      </c>
      <c r="B116" s="229" t="n">
        <v>0</v>
      </c>
      <c r="C116" s="199" t="n">
        <v>100</v>
      </c>
      <c r="D116" s="199" t="n">
        <v>100</v>
      </c>
      <c r="E116" s="199" t="n">
        <v>75</v>
      </c>
      <c r="F116" s="199" t="n">
        <v>75</v>
      </c>
      <c r="G116" s="199" t="n">
        <v>25</v>
      </c>
      <c r="H116" s="200" t="n">
        <v>25</v>
      </c>
      <c r="I116" s="131">
        <f>MAX(C116:H116)</f>
        <v/>
      </c>
      <c r="J116" s="132" t="n"/>
      <c r="K116" s="133" t="n">
        <v>0</v>
      </c>
      <c r="L116" s="134">
        <f>C116-$L$1</f>
        <v/>
      </c>
      <c r="M116" s="134">
        <f>D116-$L$1</f>
        <v/>
      </c>
      <c r="N116" s="134">
        <f>E116-$L$1</f>
        <v/>
      </c>
      <c r="O116" s="134">
        <f>F116-$L$1</f>
        <v/>
      </c>
      <c r="P116" s="134">
        <f>G116-$L$1</f>
        <v/>
      </c>
      <c r="Q116" s="134">
        <f>H116-$L$1</f>
        <v/>
      </c>
      <c r="R116" s="135">
        <f>MAX(K116:Q116)</f>
        <v/>
      </c>
      <c r="S116" s="135">
        <f>IF(MAX(L116:Q116)&gt;=0,1,0)</f>
        <v/>
      </c>
      <c r="T116" s="136">
        <f>IF(S116=1,COUNTIF(L116:Q116,R116),0)</f>
        <v/>
      </c>
      <c r="U116" s="133" t="n"/>
      <c r="V116" s="135">
        <f>IF(AND(S116=1,L116=R116),1/T116,0)</f>
        <v/>
      </c>
      <c r="W116" s="135">
        <f>IF(AND(S116=1,M116=R116),1/T116,0)</f>
        <v/>
      </c>
      <c r="X116" s="135">
        <f>IF(AND(S116=1,N116=R116),1/T116,0)</f>
        <v/>
      </c>
      <c r="Y116" s="135">
        <f>IF(AND(S116=1,O116=R116),1/T116,0)</f>
        <v/>
      </c>
      <c r="Z116" s="135">
        <f>IF(AND(S116=1,P116=R116),1/T116,0)</f>
        <v/>
      </c>
      <c r="AA116" s="135">
        <f>IF(AND(S116=1,Q116=R116),1/T116,0)</f>
        <v/>
      </c>
    </row>
    <row r="117" ht="21" customHeight="1">
      <c r="U117" s="164" t="inlineStr">
        <is>
          <t>Total Demand</t>
        </is>
      </c>
      <c r="V117" s="203" t="n"/>
      <c r="W117" s="203" t="n"/>
      <c r="X117" s="203" t="n"/>
      <c r="Y117" s="203" t="n"/>
      <c r="Z117" s="203" t="n"/>
      <c r="AA117" s="203" t="n"/>
    </row>
    <row r="118" ht="21" customHeight="1">
      <c r="U118" s="204" t="inlineStr">
        <is>
          <t>Total Student Demand</t>
        </is>
      </c>
      <c r="V118" s="203" t="n"/>
      <c r="W118" s="203" t="n"/>
      <c r="X118" s="203" t="n"/>
      <c r="Y118" s="203" t="n"/>
      <c r="Z118" s="203" t="n"/>
      <c r="AA118" s="203" t="n"/>
    </row>
    <row r="119" ht="21" customHeight="1">
      <c r="U119" s="204" t="inlineStr">
        <is>
          <t>Total Non Student Demand</t>
        </is>
      </c>
      <c r="V119" s="203" t="n"/>
      <c r="W119" s="203" t="n"/>
      <c r="X119" s="203" t="n"/>
      <c r="Y119" s="203" t="n"/>
      <c r="Z119" s="203" t="n"/>
      <c r="AA119" s="203" t="n"/>
    </row>
  </sheetData>
  <mergeCells count="3">
    <mergeCell ref="K2:Q2"/>
    <mergeCell ref="C2:H2"/>
    <mergeCell ref="V2:AA2"/>
  </mergeCells>
  <pageMargins left="0.75" right="0.75" top="1" bottom="1" header="0.5" footer="0.5"/>
  <pageSetup orientation="landscape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G24" sqref="G24"/>
    </sheetView>
  </sheetViews>
  <sheetFormatPr baseColWidth="10" defaultColWidth="8.83203125" defaultRowHeight="13"/>
  <cols>
    <col width="8.83203125" customWidth="1" style="93" min="1" max="1"/>
    <col width="39" bestFit="1" customWidth="1" style="93" min="2" max="2"/>
    <col width="9.5" bestFit="1" customWidth="1" style="93" min="3" max="3"/>
    <col width="10.33203125" bestFit="1" customWidth="1" style="93" min="4" max="5"/>
    <col width="9.5" bestFit="1" customWidth="1" style="93" min="6" max="7"/>
    <col width="10.5" bestFit="1" customWidth="1" style="93" min="8" max="8"/>
    <col width="8.83203125" customWidth="1" style="93" min="9" max="16384"/>
  </cols>
  <sheetData>
    <row r="1">
      <c r="B1" s="207" t="inlineStr">
        <is>
          <t>Two Tier Pricing</t>
        </is>
      </c>
      <c r="C1" s="111" t="inlineStr">
        <is>
          <t>6am-9am</t>
        </is>
      </c>
      <c r="D1" s="111" t="inlineStr">
        <is>
          <t>9am-noon</t>
        </is>
      </c>
      <c r="E1" s="111" t="inlineStr">
        <is>
          <t>Noon-2pm</t>
        </is>
      </c>
      <c r="F1" s="111" t="inlineStr">
        <is>
          <t>2pm-5pm</t>
        </is>
      </c>
      <c r="G1" s="111" t="inlineStr">
        <is>
          <t>5pm-9pm</t>
        </is>
      </c>
      <c r="H1" s="111" t="inlineStr">
        <is>
          <t>9pm-close</t>
        </is>
      </c>
    </row>
    <row r="2">
      <c r="B2" s="208" t="inlineStr">
        <is>
          <t>Total Student Demand</t>
        </is>
      </c>
      <c r="C2" s="209">
        <f>'Q3-Student WTP'!U37*10000/113</f>
        <v/>
      </c>
      <c r="D2" s="209">
        <f>'Q3-Student WTP'!V37*10000/113</f>
        <v/>
      </c>
      <c r="E2" s="209">
        <f>'Q3-Student WTP'!W37*10000/113</f>
        <v/>
      </c>
      <c r="F2" s="209">
        <f>'Q3-Student WTP'!X37*10000/113</f>
        <v/>
      </c>
      <c r="G2" s="209">
        <f>'Q3-Student WTP'!Y37*10000/113</f>
        <v/>
      </c>
      <c r="H2" s="209">
        <f>'Q3-Student WTP'!Z37*10000/113</f>
        <v/>
      </c>
      <c r="I2" s="91" t="n"/>
    </row>
    <row r="3">
      <c r="B3" s="207" t="inlineStr">
        <is>
          <t>Total Non-Student Demand</t>
        </is>
      </c>
      <c r="C3" s="209">
        <f>'Q3-NonStudent WTP'!U84*10000/113</f>
        <v/>
      </c>
      <c r="D3" s="209">
        <f>'Q3-NonStudent WTP'!V84*10000/113</f>
        <v/>
      </c>
      <c r="E3" s="209">
        <f>'Q3-NonStudent WTP'!W84*10000/113</f>
        <v/>
      </c>
      <c r="F3" s="209">
        <f>'Q3-NonStudent WTP'!X84*10000/113</f>
        <v/>
      </c>
      <c r="G3" s="209">
        <f>'Q3-NonStudent WTP'!Y84*10000/113</f>
        <v/>
      </c>
      <c r="H3" s="209">
        <f>'Q3-NonStudent WTP'!Z84*10000/113</f>
        <v/>
      </c>
    </row>
    <row r="4">
      <c r="B4" s="207" t="inlineStr">
        <is>
          <t>Total Demand</t>
        </is>
      </c>
      <c r="C4" s="209">
        <f>C2+C3</f>
        <v/>
      </c>
      <c r="D4" s="209">
        <f>D2+D3</f>
        <v/>
      </c>
      <c r="E4" s="209">
        <f>E2+E3</f>
        <v/>
      </c>
      <c r="F4" s="209">
        <f>F2+F3</f>
        <v/>
      </c>
      <c r="G4" s="209">
        <f>G2+G3</f>
        <v/>
      </c>
      <c r="H4" s="209">
        <f>H2+H3</f>
        <v/>
      </c>
    </row>
    <row r="5">
      <c r="B5" s="207" t="n"/>
    </row>
    <row r="6">
      <c r="B6" s="207" t="inlineStr">
        <is>
          <t>Flat Rate Pricing</t>
        </is>
      </c>
      <c r="C6" s="111" t="inlineStr">
        <is>
          <t>6am-9am</t>
        </is>
      </c>
      <c r="D6" s="111" t="inlineStr">
        <is>
          <t>9am-noon</t>
        </is>
      </c>
      <c r="E6" s="111" t="inlineStr">
        <is>
          <t>Noon-2pm</t>
        </is>
      </c>
      <c r="F6" s="111" t="inlineStr">
        <is>
          <t>2pm-5pm</t>
        </is>
      </c>
      <c r="G6" s="111" t="inlineStr">
        <is>
          <t>5pm-9pm</t>
        </is>
      </c>
      <c r="H6" s="111" t="inlineStr">
        <is>
          <t>9pm-close</t>
        </is>
      </c>
    </row>
    <row r="7">
      <c r="B7" s="208" t="inlineStr">
        <is>
          <t>Total Student Demand</t>
        </is>
      </c>
      <c r="C7" s="209">
        <f>SUMPRODUCT('Q3 All WTP'!$B$4:$B$116,'Q3 All WTP'!V$4:V$116)*10000/113</f>
        <v/>
      </c>
      <c r="D7" s="209">
        <f>SUMPRODUCT('Q3 All WTP'!$B$4:$B$116,'Q3 All WTP'!W$4:W$116)*10000/113</f>
        <v/>
      </c>
      <c r="E7" s="209">
        <f>SUMPRODUCT('Q3 All WTP'!$B$4:$B$116,'Q3 All WTP'!X$4:X$116)*10000/113</f>
        <v/>
      </c>
      <c r="F7" s="209">
        <f>SUMPRODUCT('Q3 All WTP'!$B$4:$B$116,'Q3 All WTP'!Y$4:Y$116)*10000/113</f>
        <v/>
      </c>
      <c r="G7" s="209">
        <f>SUMPRODUCT('Q3 All WTP'!$B$4:$B$116,'Q3 All WTP'!Z$4:Z$116)*10000/113</f>
        <v/>
      </c>
      <c r="H7" s="209">
        <f>SUMPRODUCT('Q3 All WTP'!$B$4:$B$116,'Q3 All WTP'!AA$4:AA$116)*10000/113</f>
        <v/>
      </c>
    </row>
    <row r="8">
      <c r="B8" s="207" t="inlineStr">
        <is>
          <t>Total Non-Student Demand</t>
        </is>
      </c>
      <c r="C8" s="209">
        <f>SUMPRODUCT((1-'Q3 All WTP'!$B$4:$B$116),'Q3 All WTP'!V$4:V$116)*10000/113</f>
        <v/>
      </c>
      <c r="D8" s="209">
        <f>SUMPRODUCT((1-'Q3 All WTP'!$B$4:$B$116),'Q3 All WTP'!W$4:W$116)*10000/113</f>
        <v/>
      </c>
      <c r="E8" s="209">
        <f>SUMPRODUCT((1-'Q3 All WTP'!$B$4:$B$116),'Q3 All WTP'!X$4:X$116)*10000/113</f>
        <v/>
      </c>
      <c r="F8" s="209">
        <f>SUMPRODUCT((1-'Q3 All WTP'!$B$4:$B$116),'Q3 All WTP'!Y$4:Y$116)*10000/113</f>
        <v/>
      </c>
      <c r="G8" s="209">
        <f>SUMPRODUCT((1-'Q3 All WTP'!$B$4:$B$116),'Q3 All WTP'!Z$4:Z$116)*10000/113</f>
        <v/>
      </c>
      <c r="H8" s="209">
        <f>SUMPRODUCT((1-'Q3 All WTP'!$B$4:$B$116),'Q3 All WTP'!AA$4:AA$116)*10000/113</f>
        <v/>
      </c>
    </row>
    <row r="9">
      <c r="B9" s="207" t="inlineStr">
        <is>
          <t>Total Demand</t>
        </is>
      </c>
      <c r="C9" s="209">
        <f>C7+C8</f>
        <v/>
      </c>
      <c r="D9" s="209">
        <f>D7+D8</f>
        <v/>
      </c>
      <c r="E9" s="209">
        <f>E7+E8</f>
        <v/>
      </c>
      <c r="F9" s="209">
        <f>F7+F8</f>
        <v/>
      </c>
      <c r="G9" s="209">
        <f>G7+G8</f>
        <v/>
      </c>
      <c r="H9" s="209">
        <f>H7+H8</f>
        <v/>
      </c>
    </row>
    <row r="11">
      <c r="B11" s="207" t="inlineStr">
        <is>
          <t>Change in Demand (Two Tier - Flat Rate)</t>
        </is>
      </c>
      <c r="C11" s="209">
        <f>C4-C9</f>
        <v/>
      </c>
      <c r="D11" s="209">
        <f>D4-D9</f>
        <v/>
      </c>
      <c r="E11" s="209">
        <f>E4-E9</f>
        <v/>
      </c>
      <c r="F11" s="209">
        <f>F4-F9</f>
        <v/>
      </c>
      <c r="G11" s="209">
        <f>G4-G9</f>
        <v/>
      </c>
      <c r="H11" s="209">
        <f>H4-H9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JunLi</dc:creator>
  <dcterms:created xmlns:dcterms="http://purl.org/dc/terms/" xmlns:xsi="http://www.w3.org/2001/XMLSchema-instance" xsi:type="dcterms:W3CDTF">2005-04-17T15:52:00Z</dcterms:created>
  <dcterms:modified xmlns:dcterms="http://purl.org/dc/terms/" xmlns:xsi="http://www.w3.org/2001/XMLSchema-instance" xsi:type="dcterms:W3CDTF">2026-03-10T14:17:31Z</dcterms:modified>
  <cp:lastModifiedBy>Microsoft Office User</cp:lastModifiedBy>
  <cp:lastPrinted>2006-01-25T19:39:59Z</cp:lastPrinted>
</cp:coreProperties>
</file>